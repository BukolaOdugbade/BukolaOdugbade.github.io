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DELLPC\Downloads\"/>
    </mc:Choice>
  </mc:AlternateContent>
  <xr:revisionPtr revIDLastSave="0" documentId="13_ncr:1_{E9D9BE19-11B0-427E-84D7-145889DB3070}" xr6:coauthVersionLast="47" xr6:coauthVersionMax="47" xr10:uidLastSave="{00000000-0000-0000-0000-000000000000}"/>
  <bookViews>
    <workbookView xWindow="-120" yWindow="-120" windowWidth="20730" windowHeight="11160" xr2:uid="{00000000-000D-0000-FFFF-FFFF00000000}"/>
  </bookViews>
  <sheets>
    <sheet name="Sales Dashboard" sheetId="4" r:id="rId1"/>
    <sheet name="Pivot Table" sheetId="5" r:id="rId2"/>
    <sheet name="Sales Data" sheetId="1" r:id="rId3"/>
  </sheets>
  <definedNames>
    <definedName name="Slicer_City">#N/A</definedName>
    <definedName name="Slicer_Gender">#N/A</definedName>
    <definedName name="Slicer_Payment_Method">#N/A</definedName>
    <definedName name="Slicer_Product_Category">#N/A</definedName>
    <definedName name="Slicer_Salesperson">#N/A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N2" i="1" l="1"/>
  <c r="N501" i="1"/>
  <c r="N500" i="1"/>
  <c r="O500" i="1" s="1"/>
  <c r="P500" i="1" s="1"/>
  <c r="P499" i="1"/>
  <c r="O499" i="1"/>
  <c r="N499" i="1"/>
  <c r="O498" i="1"/>
  <c r="N498" i="1"/>
  <c r="N497" i="1"/>
  <c r="N496" i="1"/>
  <c r="O496" i="1" s="1"/>
  <c r="P496" i="1" s="1"/>
  <c r="P495" i="1"/>
  <c r="O495" i="1"/>
  <c r="N495" i="1"/>
  <c r="O494" i="1"/>
  <c r="N494" i="1"/>
  <c r="N493" i="1"/>
  <c r="N492" i="1"/>
  <c r="O492" i="1" s="1"/>
  <c r="P492" i="1" s="1"/>
  <c r="P491" i="1"/>
  <c r="O491" i="1"/>
  <c r="N491" i="1"/>
  <c r="O490" i="1"/>
  <c r="N490" i="1"/>
  <c r="N489" i="1"/>
  <c r="N488" i="1"/>
  <c r="O488" i="1" s="1"/>
  <c r="P488" i="1" s="1"/>
  <c r="P487" i="1"/>
  <c r="O487" i="1"/>
  <c r="N487" i="1"/>
  <c r="O486" i="1"/>
  <c r="N486" i="1"/>
  <c r="P486" i="1" s="1"/>
  <c r="N485" i="1"/>
  <c r="N484" i="1"/>
  <c r="O484" i="1" s="1"/>
  <c r="P484" i="1" s="1"/>
  <c r="P483" i="1"/>
  <c r="O483" i="1"/>
  <c r="N483" i="1"/>
  <c r="O482" i="1"/>
  <c r="N482" i="1"/>
  <c r="N481" i="1"/>
  <c r="N480" i="1"/>
  <c r="O480" i="1" s="1"/>
  <c r="P480" i="1" s="1"/>
  <c r="P479" i="1"/>
  <c r="O479" i="1"/>
  <c r="N479" i="1"/>
  <c r="O478" i="1"/>
  <c r="N478" i="1"/>
  <c r="N477" i="1"/>
  <c r="N476" i="1"/>
  <c r="O476" i="1" s="1"/>
  <c r="P476" i="1" s="1"/>
  <c r="P475" i="1"/>
  <c r="O475" i="1"/>
  <c r="N475" i="1"/>
  <c r="O474" i="1"/>
  <c r="N474" i="1"/>
  <c r="N473" i="1"/>
  <c r="N472" i="1"/>
  <c r="O472" i="1" s="1"/>
  <c r="P472" i="1" s="1"/>
  <c r="P471" i="1"/>
  <c r="O471" i="1"/>
  <c r="N471" i="1"/>
  <c r="N470" i="1"/>
  <c r="N469" i="1"/>
  <c r="P468" i="1"/>
  <c r="N468" i="1"/>
  <c r="O468" i="1" s="1"/>
  <c r="O467" i="1"/>
  <c r="P467" i="1" s="1"/>
  <c r="N467" i="1"/>
  <c r="N466" i="1"/>
  <c r="N465" i="1"/>
  <c r="P464" i="1"/>
  <c r="O464" i="1"/>
  <c r="N464" i="1"/>
  <c r="O463" i="1"/>
  <c r="P463" i="1" s="1"/>
  <c r="N463" i="1"/>
  <c r="N462" i="1"/>
  <c r="N461" i="1"/>
  <c r="P460" i="1"/>
  <c r="O460" i="1"/>
  <c r="N460" i="1"/>
  <c r="P459" i="1"/>
  <c r="O459" i="1"/>
  <c r="N459" i="1"/>
  <c r="N458" i="1"/>
  <c r="N457" i="1"/>
  <c r="P456" i="1"/>
  <c r="O456" i="1"/>
  <c r="N456" i="1"/>
  <c r="O455" i="1"/>
  <c r="P455" i="1" s="1"/>
  <c r="N455" i="1"/>
  <c r="O454" i="1"/>
  <c r="N454" i="1"/>
  <c r="N453" i="1"/>
  <c r="P452" i="1"/>
  <c r="O452" i="1"/>
  <c r="N452" i="1"/>
  <c r="P451" i="1"/>
  <c r="O451" i="1"/>
  <c r="N451" i="1"/>
  <c r="N450" i="1"/>
  <c r="N449" i="1"/>
  <c r="P448" i="1"/>
  <c r="O448" i="1"/>
  <c r="N448" i="1"/>
  <c r="P447" i="1"/>
  <c r="O447" i="1"/>
  <c r="N447" i="1"/>
  <c r="O446" i="1"/>
  <c r="N446" i="1"/>
  <c r="N445" i="1"/>
  <c r="P444" i="1"/>
  <c r="O444" i="1"/>
  <c r="N444" i="1"/>
  <c r="P443" i="1"/>
  <c r="O443" i="1"/>
  <c r="N443" i="1"/>
  <c r="O442" i="1"/>
  <c r="N442" i="1"/>
  <c r="N441" i="1"/>
  <c r="P440" i="1"/>
  <c r="O440" i="1"/>
  <c r="N440" i="1"/>
  <c r="O439" i="1"/>
  <c r="P439" i="1" s="1"/>
  <c r="N439" i="1"/>
  <c r="O438" i="1"/>
  <c r="N438" i="1"/>
  <c r="N437" i="1"/>
  <c r="P436" i="1"/>
  <c r="O436" i="1"/>
  <c r="N436" i="1"/>
  <c r="O435" i="1"/>
  <c r="P435" i="1" s="1"/>
  <c r="N435" i="1"/>
  <c r="N434" i="1"/>
  <c r="N433" i="1"/>
  <c r="P432" i="1"/>
  <c r="O432" i="1"/>
  <c r="N432" i="1"/>
  <c r="O431" i="1"/>
  <c r="P431" i="1" s="1"/>
  <c r="N431" i="1"/>
  <c r="N430" i="1"/>
  <c r="N429" i="1"/>
  <c r="P428" i="1"/>
  <c r="O428" i="1"/>
  <c r="N428" i="1"/>
  <c r="P427" i="1"/>
  <c r="O427" i="1"/>
  <c r="N427" i="1"/>
  <c r="N426" i="1"/>
  <c r="N425" i="1"/>
  <c r="P424" i="1"/>
  <c r="O424" i="1"/>
  <c r="N424" i="1"/>
  <c r="O423" i="1"/>
  <c r="P423" i="1" s="1"/>
  <c r="N423" i="1"/>
  <c r="O422" i="1"/>
  <c r="N422" i="1"/>
  <c r="N421" i="1"/>
  <c r="P420" i="1"/>
  <c r="O420" i="1"/>
  <c r="N420" i="1"/>
  <c r="P419" i="1"/>
  <c r="O419" i="1"/>
  <c r="N419" i="1"/>
  <c r="N418" i="1"/>
  <c r="N417" i="1"/>
  <c r="P416" i="1"/>
  <c r="O416" i="1"/>
  <c r="N416" i="1"/>
  <c r="P415" i="1"/>
  <c r="O415" i="1"/>
  <c r="N415" i="1"/>
  <c r="O414" i="1"/>
  <c r="N414" i="1"/>
  <c r="N413" i="1"/>
  <c r="P412" i="1"/>
  <c r="O412" i="1"/>
  <c r="N412" i="1"/>
  <c r="P411" i="1"/>
  <c r="O411" i="1"/>
  <c r="N411" i="1"/>
  <c r="O410" i="1"/>
  <c r="N410" i="1"/>
  <c r="N409" i="1"/>
  <c r="P408" i="1"/>
  <c r="O408" i="1"/>
  <c r="N408" i="1"/>
  <c r="O407" i="1"/>
  <c r="P407" i="1" s="1"/>
  <c r="N407" i="1"/>
  <c r="O406" i="1"/>
  <c r="N406" i="1"/>
  <c r="N405" i="1"/>
  <c r="P404" i="1"/>
  <c r="O404" i="1"/>
  <c r="N404" i="1"/>
  <c r="O403" i="1"/>
  <c r="P403" i="1" s="1"/>
  <c r="N403" i="1"/>
  <c r="N402" i="1"/>
  <c r="N401" i="1"/>
  <c r="P400" i="1"/>
  <c r="O400" i="1"/>
  <c r="N400" i="1"/>
  <c r="O399" i="1"/>
  <c r="P399" i="1" s="1"/>
  <c r="N399" i="1"/>
  <c r="N398" i="1"/>
  <c r="N397" i="1"/>
  <c r="P396" i="1"/>
  <c r="O396" i="1"/>
  <c r="N396" i="1"/>
  <c r="P395" i="1"/>
  <c r="O395" i="1"/>
  <c r="N395" i="1"/>
  <c r="N394" i="1"/>
  <c r="N393" i="1"/>
  <c r="P392" i="1"/>
  <c r="O392" i="1"/>
  <c r="N392" i="1"/>
  <c r="O391" i="1"/>
  <c r="P391" i="1" s="1"/>
  <c r="N391" i="1"/>
  <c r="O390" i="1"/>
  <c r="N390" i="1"/>
  <c r="N389" i="1"/>
  <c r="P388" i="1"/>
  <c r="O388" i="1"/>
  <c r="N388" i="1"/>
  <c r="P387" i="1"/>
  <c r="O387" i="1"/>
  <c r="N387" i="1"/>
  <c r="N386" i="1"/>
  <c r="N385" i="1"/>
  <c r="P384" i="1"/>
  <c r="O384" i="1"/>
  <c r="N384" i="1"/>
  <c r="P383" i="1"/>
  <c r="O383" i="1"/>
  <c r="N383" i="1"/>
  <c r="O382" i="1"/>
  <c r="N382" i="1"/>
  <c r="P381" i="1"/>
  <c r="N381" i="1"/>
  <c r="O381" i="1" s="1"/>
  <c r="P380" i="1"/>
  <c r="O380" i="1"/>
  <c r="N380" i="1"/>
  <c r="N379" i="1"/>
  <c r="O378" i="1"/>
  <c r="N378" i="1"/>
  <c r="N377" i="1"/>
  <c r="P376" i="1"/>
  <c r="O376" i="1"/>
  <c r="N376" i="1"/>
  <c r="P375" i="1"/>
  <c r="O375" i="1"/>
  <c r="N375" i="1"/>
  <c r="N374" i="1"/>
  <c r="P373" i="1"/>
  <c r="N373" i="1"/>
  <c r="O373" i="1" s="1"/>
  <c r="O372" i="1"/>
  <c r="P372" i="1" s="1"/>
  <c r="N372" i="1"/>
  <c r="N371" i="1"/>
  <c r="O370" i="1"/>
  <c r="N370" i="1"/>
  <c r="N369" i="1"/>
  <c r="O369" i="1" s="1"/>
  <c r="P368" i="1"/>
  <c r="O368" i="1"/>
  <c r="N368" i="1"/>
  <c r="O367" i="1"/>
  <c r="P367" i="1" s="1"/>
  <c r="N367" i="1"/>
  <c r="N366" i="1"/>
  <c r="P365" i="1"/>
  <c r="N365" i="1"/>
  <c r="O365" i="1" s="1"/>
  <c r="O364" i="1"/>
  <c r="P364" i="1" s="1"/>
  <c r="N364" i="1"/>
  <c r="O363" i="1"/>
  <c r="N363" i="1"/>
  <c r="O362" i="1"/>
  <c r="N362" i="1"/>
  <c r="P361" i="1"/>
  <c r="N361" i="1"/>
  <c r="O361" i="1" s="1"/>
  <c r="P360" i="1"/>
  <c r="O360" i="1"/>
  <c r="N360" i="1"/>
  <c r="O359" i="1"/>
  <c r="P359" i="1" s="1"/>
  <c r="N359" i="1"/>
  <c r="O358" i="1"/>
  <c r="N358" i="1"/>
  <c r="P357" i="1"/>
  <c r="N357" i="1"/>
  <c r="O357" i="1" s="1"/>
  <c r="P356" i="1"/>
  <c r="O356" i="1"/>
  <c r="N356" i="1"/>
  <c r="O355" i="1"/>
  <c r="N355" i="1"/>
  <c r="O354" i="1"/>
  <c r="N354" i="1"/>
  <c r="P353" i="1"/>
  <c r="N353" i="1"/>
  <c r="O353" i="1" s="1"/>
  <c r="P352" i="1"/>
  <c r="O352" i="1"/>
  <c r="N352" i="1"/>
  <c r="P351" i="1"/>
  <c r="O351" i="1"/>
  <c r="N351" i="1"/>
  <c r="O350" i="1"/>
  <c r="N350" i="1"/>
  <c r="P349" i="1"/>
  <c r="N349" i="1"/>
  <c r="O349" i="1" s="1"/>
  <c r="P348" i="1"/>
  <c r="O348" i="1"/>
  <c r="N348" i="1"/>
  <c r="N347" i="1"/>
  <c r="O346" i="1"/>
  <c r="N346" i="1"/>
  <c r="N345" i="1"/>
  <c r="P344" i="1"/>
  <c r="O344" i="1"/>
  <c r="N344" i="1"/>
  <c r="P343" i="1"/>
  <c r="O343" i="1"/>
  <c r="N343" i="1"/>
  <c r="N342" i="1"/>
  <c r="P341" i="1"/>
  <c r="N341" i="1"/>
  <c r="O341" i="1" s="1"/>
  <c r="O340" i="1"/>
  <c r="N340" i="1"/>
  <c r="N339" i="1"/>
  <c r="N338" i="1"/>
  <c r="O337" i="1"/>
  <c r="P337" i="1" s="1"/>
  <c r="N337" i="1"/>
  <c r="N336" i="1"/>
  <c r="O336" i="1" s="1"/>
  <c r="P336" i="1" s="1"/>
  <c r="N335" i="1"/>
  <c r="N334" i="1"/>
  <c r="O334" i="1" s="1"/>
  <c r="P333" i="1"/>
  <c r="O333" i="1"/>
  <c r="N333" i="1"/>
  <c r="N332" i="1"/>
  <c r="N331" i="1"/>
  <c r="P330" i="1"/>
  <c r="N330" i="1"/>
  <c r="O330" i="1" s="1"/>
  <c r="O329" i="1"/>
  <c r="P329" i="1" s="1"/>
  <c r="N329" i="1"/>
  <c r="P328" i="1"/>
  <c r="N328" i="1"/>
  <c r="O328" i="1" s="1"/>
  <c r="O327" i="1"/>
  <c r="N327" i="1"/>
  <c r="N326" i="1"/>
  <c r="O326" i="1" s="1"/>
  <c r="O325" i="1"/>
  <c r="P325" i="1" s="1"/>
  <c r="N325" i="1"/>
  <c r="O324" i="1"/>
  <c r="N324" i="1"/>
  <c r="N323" i="1"/>
  <c r="N322" i="1"/>
  <c r="O322" i="1" s="1"/>
  <c r="O321" i="1"/>
  <c r="P321" i="1" s="1"/>
  <c r="N321" i="1"/>
  <c r="N320" i="1"/>
  <c r="O320" i="1" s="1"/>
  <c r="P320" i="1" s="1"/>
  <c r="N319" i="1"/>
  <c r="N318" i="1"/>
  <c r="O318" i="1" s="1"/>
  <c r="P317" i="1"/>
  <c r="O317" i="1"/>
  <c r="N317" i="1"/>
  <c r="N316" i="1"/>
  <c r="N315" i="1"/>
  <c r="P314" i="1"/>
  <c r="N314" i="1"/>
  <c r="O314" i="1" s="1"/>
  <c r="O313" i="1"/>
  <c r="P313" i="1" s="1"/>
  <c r="N313" i="1"/>
  <c r="P312" i="1"/>
  <c r="N312" i="1"/>
  <c r="O312" i="1" s="1"/>
  <c r="O311" i="1"/>
  <c r="N311" i="1"/>
  <c r="N310" i="1"/>
  <c r="O310" i="1" s="1"/>
  <c r="O309" i="1"/>
  <c r="P309" i="1" s="1"/>
  <c r="N309" i="1"/>
  <c r="O308" i="1"/>
  <c r="N308" i="1"/>
  <c r="N307" i="1"/>
  <c r="N306" i="1"/>
  <c r="O305" i="1"/>
  <c r="P305" i="1" s="1"/>
  <c r="N305" i="1"/>
  <c r="N304" i="1"/>
  <c r="N303" i="1"/>
  <c r="N302" i="1"/>
  <c r="P301" i="1"/>
  <c r="O301" i="1"/>
  <c r="N301" i="1"/>
  <c r="O300" i="1"/>
  <c r="P300" i="1" s="1"/>
  <c r="N300" i="1"/>
  <c r="N299" i="1"/>
  <c r="N298" i="1"/>
  <c r="O297" i="1"/>
  <c r="P297" i="1" s="1"/>
  <c r="N297" i="1"/>
  <c r="N296" i="1"/>
  <c r="N295" i="1"/>
  <c r="N294" i="1"/>
  <c r="P293" i="1"/>
  <c r="O293" i="1"/>
  <c r="N293" i="1"/>
  <c r="O292" i="1"/>
  <c r="N292" i="1"/>
  <c r="P292" i="1" s="1"/>
  <c r="N291" i="1"/>
  <c r="N290" i="1"/>
  <c r="O289" i="1"/>
  <c r="P289" i="1" s="1"/>
  <c r="N289" i="1"/>
  <c r="N288" i="1"/>
  <c r="N287" i="1"/>
  <c r="N286" i="1"/>
  <c r="P285" i="1"/>
  <c r="O285" i="1"/>
  <c r="N285" i="1"/>
  <c r="O284" i="1"/>
  <c r="N284" i="1"/>
  <c r="P284" i="1" s="1"/>
  <c r="N283" i="1"/>
  <c r="N282" i="1"/>
  <c r="O281" i="1"/>
  <c r="P281" i="1" s="1"/>
  <c r="N281" i="1"/>
  <c r="N280" i="1"/>
  <c r="N279" i="1"/>
  <c r="N278" i="1"/>
  <c r="P277" i="1"/>
  <c r="O277" i="1"/>
  <c r="N277" i="1"/>
  <c r="O276" i="1"/>
  <c r="N276" i="1"/>
  <c r="P276" i="1" s="1"/>
  <c r="N275" i="1"/>
  <c r="N274" i="1"/>
  <c r="O273" i="1"/>
  <c r="P273" i="1" s="1"/>
  <c r="N273" i="1"/>
  <c r="N272" i="1"/>
  <c r="O271" i="1"/>
  <c r="N271" i="1"/>
  <c r="N270" i="1"/>
  <c r="P269" i="1"/>
  <c r="O269" i="1"/>
  <c r="N269" i="1"/>
  <c r="O268" i="1"/>
  <c r="N268" i="1"/>
  <c r="P268" i="1" s="1"/>
  <c r="N267" i="1"/>
  <c r="N266" i="1"/>
  <c r="O265" i="1"/>
  <c r="P265" i="1" s="1"/>
  <c r="N265" i="1"/>
  <c r="N264" i="1"/>
  <c r="N263" i="1"/>
  <c r="N262" i="1"/>
  <c r="P261" i="1"/>
  <c r="O261" i="1"/>
  <c r="N261" i="1"/>
  <c r="O260" i="1"/>
  <c r="P260" i="1" s="1"/>
  <c r="N260" i="1"/>
  <c r="N259" i="1"/>
  <c r="N258" i="1"/>
  <c r="O257" i="1"/>
  <c r="P257" i="1" s="1"/>
  <c r="N257" i="1"/>
  <c r="N256" i="1"/>
  <c r="N255" i="1"/>
  <c r="N254" i="1"/>
  <c r="P253" i="1"/>
  <c r="O253" i="1"/>
  <c r="N253" i="1"/>
  <c r="O252" i="1"/>
  <c r="P252" i="1" s="1"/>
  <c r="N252" i="1"/>
  <c r="N251" i="1"/>
  <c r="N250" i="1"/>
  <c r="O249" i="1"/>
  <c r="P249" i="1" s="1"/>
  <c r="N249" i="1"/>
  <c r="N248" i="1"/>
  <c r="N247" i="1"/>
  <c r="N246" i="1"/>
  <c r="P245" i="1"/>
  <c r="O245" i="1"/>
  <c r="N245" i="1"/>
  <c r="O244" i="1"/>
  <c r="P244" i="1" s="1"/>
  <c r="N244" i="1"/>
  <c r="N243" i="1"/>
  <c r="N242" i="1"/>
  <c r="O241" i="1"/>
  <c r="P241" i="1" s="1"/>
  <c r="N241" i="1"/>
  <c r="N240" i="1"/>
  <c r="N239" i="1"/>
  <c r="N238" i="1"/>
  <c r="P237" i="1"/>
  <c r="O237" i="1"/>
  <c r="N237" i="1"/>
  <c r="O236" i="1"/>
  <c r="P236" i="1" s="1"/>
  <c r="N236" i="1"/>
  <c r="N235" i="1"/>
  <c r="P234" i="1"/>
  <c r="N234" i="1"/>
  <c r="O234" i="1" s="1"/>
  <c r="O233" i="1"/>
  <c r="P233" i="1" s="1"/>
  <c r="N233" i="1"/>
  <c r="N232" i="1"/>
  <c r="O231" i="1"/>
  <c r="N231" i="1"/>
  <c r="N230" i="1"/>
  <c r="O230" i="1" s="1"/>
  <c r="P229" i="1"/>
  <c r="O229" i="1"/>
  <c r="N229" i="1"/>
  <c r="O228" i="1"/>
  <c r="P228" i="1" s="1"/>
  <c r="N228" i="1"/>
  <c r="N227" i="1"/>
  <c r="O227" i="1" s="1"/>
  <c r="P226" i="1"/>
  <c r="N226" i="1"/>
  <c r="O226" i="1" s="1"/>
  <c r="O225" i="1"/>
  <c r="P225" i="1" s="1"/>
  <c r="N225" i="1"/>
  <c r="N224" i="1"/>
  <c r="O223" i="1"/>
  <c r="N223" i="1"/>
  <c r="N222" i="1"/>
  <c r="O222" i="1" s="1"/>
  <c r="P221" i="1"/>
  <c r="O221" i="1"/>
  <c r="N221" i="1"/>
  <c r="O220" i="1"/>
  <c r="P220" i="1" s="1"/>
  <c r="N220" i="1"/>
  <c r="N219" i="1"/>
  <c r="O219" i="1" s="1"/>
  <c r="P218" i="1"/>
  <c r="N218" i="1"/>
  <c r="O218" i="1" s="1"/>
  <c r="O217" i="1"/>
  <c r="P217" i="1" s="1"/>
  <c r="N217" i="1"/>
  <c r="N216" i="1"/>
  <c r="O215" i="1"/>
  <c r="N215" i="1"/>
  <c r="N214" i="1"/>
  <c r="O214" i="1" s="1"/>
  <c r="P213" i="1"/>
  <c r="O213" i="1"/>
  <c r="N213" i="1"/>
  <c r="O212" i="1"/>
  <c r="P212" i="1" s="1"/>
  <c r="N212" i="1"/>
  <c r="N211" i="1"/>
  <c r="O211" i="1" s="1"/>
  <c r="P210" i="1"/>
  <c r="N210" i="1"/>
  <c r="O210" i="1" s="1"/>
  <c r="O209" i="1"/>
  <c r="P209" i="1" s="1"/>
  <c r="N209" i="1"/>
  <c r="N208" i="1"/>
  <c r="O207" i="1"/>
  <c r="N207" i="1"/>
  <c r="N206" i="1"/>
  <c r="O206" i="1" s="1"/>
  <c r="P205" i="1"/>
  <c r="O205" i="1"/>
  <c r="N205" i="1"/>
  <c r="O204" i="1"/>
  <c r="P204" i="1" s="1"/>
  <c r="N204" i="1"/>
  <c r="N203" i="1"/>
  <c r="N202" i="1"/>
  <c r="P201" i="1"/>
  <c r="O201" i="1"/>
  <c r="N201" i="1"/>
  <c r="O200" i="1"/>
  <c r="P200" i="1" s="1"/>
  <c r="N200" i="1"/>
  <c r="N199" i="1"/>
  <c r="N198" i="1"/>
  <c r="P197" i="1"/>
  <c r="O197" i="1"/>
  <c r="N197" i="1"/>
  <c r="O196" i="1"/>
  <c r="P196" i="1" s="1"/>
  <c r="N196" i="1"/>
  <c r="N195" i="1"/>
  <c r="N194" i="1"/>
  <c r="P193" i="1"/>
  <c r="O193" i="1"/>
  <c r="N193" i="1"/>
  <c r="O192" i="1"/>
  <c r="P192" i="1" s="1"/>
  <c r="N192" i="1"/>
  <c r="N191" i="1"/>
  <c r="N190" i="1"/>
  <c r="P189" i="1"/>
  <c r="O189" i="1"/>
  <c r="N189" i="1"/>
  <c r="O188" i="1"/>
  <c r="P188" i="1" s="1"/>
  <c r="N188" i="1"/>
  <c r="N187" i="1"/>
  <c r="N186" i="1"/>
  <c r="P185" i="1"/>
  <c r="O185" i="1"/>
  <c r="N185" i="1"/>
  <c r="O184" i="1"/>
  <c r="P184" i="1" s="1"/>
  <c r="N184" i="1"/>
  <c r="N183" i="1"/>
  <c r="N182" i="1"/>
  <c r="P181" i="1"/>
  <c r="O181" i="1"/>
  <c r="N181" i="1"/>
  <c r="O180" i="1"/>
  <c r="P180" i="1" s="1"/>
  <c r="N180" i="1"/>
  <c r="N179" i="1"/>
  <c r="N178" i="1"/>
  <c r="P177" i="1"/>
  <c r="O177" i="1"/>
  <c r="N177" i="1"/>
  <c r="O176" i="1"/>
  <c r="P176" i="1" s="1"/>
  <c r="N176" i="1"/>
  <c r="N175" i="1"/>
  <c r="N174" i="1"/>
  <c r="P173" i="1"/>
  <c r="O173" i="1"/>
  <c r="N173" i="1"/>
  <c r="O172" i="1"/>
  <c r="P172" i="1" s="1"/>
  <c r="N172" i="1"/>
  <c r="N171" i="1"/>
  <c r="N170" i="1"/>
  <c r="P169" i="1"/>
  <c r="O169" i="1"/>
  <c r="N169" i="1"/>
  <c r="O168" i="1"/>
  <c r="P168" i="1" s="1"/>
  <c r="N168" i="1"/>
  <c r="N167" i="1"/>
  <c r="N166" i="1"/>
  <c r="P165" i="1"/>
  <c r="O165" i="1"/>
  <c r="N165" i="1"/>
  <c r="O164" i="1"/>
  <c r="P164" i="1" s="1"/>
  <c r="N164" i="1"/>
  <c r="N163" i="1"/>
  <c r="N162" i="1"/>
  <c r="P161" i="1"/>
  <c r="O161" i="1"/>
  <c r="N161" i="1"/>
  <c r="O160" i="1"/>
  <c r="P160" i="1" s="1"/>
  <c r="N160" i="1"/>
  <c r="N159" i="1"/>
  <c r="N158" i="1"/>
  <c r="P157" i="1"/>
  <c r="O157" i="1"/>
  <c r="N157" i="1"/>
  <c r="O156" i="1"/>
  <c r="P156" i="1" s="1"/>
  <c r="N156" i="1"/>
  <c r="N155" i="1"/>
  <c r="N154" i="1"/>
  <c r="P153" i="1"/>
  <c r="O153" i="1"/>
  <c r="N153" i="1"/>
  <c r="O152" i="1"/>
  <c r="P152" i="1" s="1"/>
  <c r="N152" i="1"/>
  <c r="N151" i="1"/>
  <c r="N150" i="1"/>
  <c r="P149" i="1"/>
  <c r="O149" i="1"/>
  <c r="N149" i="1"/>
  <c r="O148" i="1"/>
  <c r="P148" i="1" s="1"/>
  <c r="N148" i="1"/>
  <c r="N147" i="1"/>
  <c r="N146" i="1"/>
  <c r="P145" i="1"/>
  <c r="O145" i="1"/>
  <c r="N145" i="1"/>
  <c r="O144" i="1"/>
  <c r="P144" i="1" s="1"/>
  <c r="N144" i="1"/>
  <c r="N143" i="1"/>
  <c r="N142" i="1"/>
  <c r="P141" i="1"/>
  <c r="O141" i="1"/>
  <c r="N141" i="1"/>
  <c r="O140" i="1"/>
  <c r="P140" i="1" s="1"/>
  <c r="N140" i="1"/>
  <c r="N139" i="1"/>
  <c r="N138" i="1"/>
  <c r="P137" i="1"/>
  <c r="O137" i="1"/>
  <c r="N137" i="1"/>
  <c r="O136" i="1"/>
  <c r="P136" i="1" s="1"/>
  <c r="N136" i="1"/>
  <c r="N135" i="1"/>
  <c r="N134" i="1"/>
  <c r="P133" i="1"/>
  <c r="O133" i="1"/>
  <c r="N133" i="1"/>
  <c r="O132" i="1"/>
  <c r="P132" i="1" s="1"/>
  <c r="N132" i="1"/>
  <c r="N131" i="1"/>
  <c r="N130" i="1"/>
  <c r="P129" i="1"/>
  <c r="O129" i="1"/>
  <c r="N129" i="1"/>
  <c r="O128" i="1"/>
  <c r="P128" i="1" s="1"/>
  <c r="N128" i="1"/>
  <c r="N127" i="1"/>
  <c r="N126" i="1"/>
  <c r="P125" i="1"/>
  <c r="N125" i="1"/>
  <c r="O125" i="1" s="1"/>
  <c r="O124" i="1"/>
  <c r="P124" i="1" s="1"/>
  <c r="N124" i="1"/>
  <c r="N123" i="1"/>
  <c r="N122" i="1"/>
  <c r="N121" i="1"/>
  <c r="O121" i="1" s="1"/>
  <c r="P121" i="1" s="1"/>
  <c r="O120" i="1"/>
  <c r="P120" i="1" s="1"/>
  <c r="N120" i="1"/>
  <c r="N119" i="1"/>
  <c r="N118" i="1"/>
  <c r="P117" i="1"/>
  <c r="N117" i="1"/>
  <c r="O117" i="1" s="1"/>
  <c r="O116" i="1"/>
  <c r="P116" i="1" s="1"/>
  <c r="N116" i="1"/>
  <c r="N115" i="1"/>
  <c r="N114" i="1"/>
  <c r="P113" i="1"/>
  <c r="O113" i="1"/>
  <c r="N113" i="1"/>
  <c r="O112" i="1"/>
  <c r="P112" i="1" s="1"/>
  <c r="N112" i="1"/>
  <c r="N111" i="1"/>
  <c r="N110" i="1"/>
  <c r="P109" i="1"/>
  <c r="O109" i="1"/>
  <c r="N109" i="1"/>
  <c r="O108" i="1"/>
  <c r="P108" i="1" s="1"/>
  <c r="N108" i="1"/>
  <c r="N107" i="1"/>
  <c r="N106" i="1"/>
  <c r="P105" i="1"/>
  <c r="O105" i="1"/>
  <c r="N105" i="1"/>
  <c r="O104" i="1"/>
  <c r="P104" i="1" s="1"/>
  <c r="N104" i="1"/>
  <c r="O103" i="1"/>
  <c r="N103" i="1"/>
  <c r="N102" i="1"/>
  <c r="P101" i="1"/>
  <c r="O101" i="1"/>
  <c r="N101" i="1"/>
  <c r="O100" i="1"/>
  <c r="P100" i="1" s="1"/>
  <c r="N100" i="1"/>
  <c r="O99" i="1"/>
  <c r="N99" i="1"/>
  <c r="N98" i="1"/>
  <c r="P97" i="1"/>
  <c r="O97" i="1"/>
  <c r="N97" i="1"/>
  <c r="O96" i="1"/>
  <c r="P96" i="1" s="1"/>
  <c r="N96" i="1"/>
  <c r="N95" i="1"/>
  <c r="N94" i="1"/>
  <c r="P93" i="1"/>
  <c r="O93" i="1"/>
  <c r="N93" i="1"/>
  <c r="P92" i="1"/>
  <c r="O92" i="1"/>
  <c r="N92" i="1"/>
  <c r="N91" i="1"/>
  <c r="N90" i="1"/>
  <c r="P89" i="1"/>
  <c r="O89" i="1"/>
  <c r="N89" i="1"/>
  <c r="P88" i="1"/>
  <c r="O88" i="1"/>
  <c r="N88" i="1"/>
  <c r="O87" i="1"/>
  <c r="N87" i="1"/>
  <c r="N86" i="1"/>
  <c r="P85" i="1"/>
  <c r="O85" i="1"/>
  <c r="N85" i="1"/>
  <c r="O84" i="1"/>
  <c r="P84" i="1" s="1"/>
  <c r="N84" i="1"/>
  <c r="O83" i="1"/>
  <c r="N83" i="1"/>
  <c r="N82" i="1"/>
  <c r="P81" i="1"/>
  <c r="O81" i="1"/>
  <c r="N81" i="1"/>
  <c r="O80" i="1"/>
  <c r="P80" i="1" s="1"/>
  <c r="N80" i="1"/>
  <c r="N79" i="1"/>
  <c r="N78" i="1"/>
  <c r="P77" i="1"/>
  <c r="O77" i="1"/>
  <c r="N77" i="1"/>
  <c r="P76" i="1"/>
  <c r="O76" i="1"/>
  <c r="N76" i="1"/>
  <c r="N75" i="1"/>
  <c r="N74" i="1"/>
  <c r="P73" i="1"/>
  <c r="O73" i="1"/>
  <c r="N73" i="1"/>
  <c r="P72" i="1"/>
  <c r="O72" i="1"/>
  <c r="N72" i="1"/>
  <c r="O71" i="1"/>
  <c r="N71" i="1"/>
  <c r="N70" i="1"/>
  <c r="P69" i="1"/>
  <c r="O69" i="1"/>
  <c r="N69" i="1"/>
  <c r="O68" i="1"/>
  <c r="P68" i="1" s="1"/>
  <c r="N68" i="1"/>
  <c r="O67" i="1"/>
  <c r="N67" i="1"/>
  <c r="N66" i="1"/>
  <c r="P65" i="1"/>
  <c r="O65" i="1"/>
  <c r="N65" i="1"/>
  <c r="O64" i="1"/>
  <c r="P64" i="1" s="1"/>
  <c r="N64" i="1"/>
  <c r="N63" i="1"/>
  <c r="N62" i="1"/>
  <c r="P61" i="1"/>
  <c r="O61" i="1"/>
  <c r="N61" i="1"/>
  <c r="P60" i="1"/>
  <c r="O60" i="1"/>
  <c r="N60" i="1"/>
  <c r="N59" i="1"/>
  <c r="N58" i="1"/>
  <c r="P57" i="1"/>
  <c r="O57" i="1"/>
  <c r="N57" i="1"/>
  <c r="P56" i="1"/>
  <c r="O56" i="1"/>
  <c r="N56" i="1"/>
  <c r="O55" i="1"/>
  <c r="N55" i="1"/>
  <c r="N54" i="1"/>
  <c r="P53" i="1"/>
  <c r="O53" i="1"/>
  <c r="N53" i="1"/>
  <c r="O52" i="1"/>
  <c r="P52" i="1" s="1"/>
  <c r="N52" i="1"/>
  <c r="O51" i="1"/>
  <c r="N51" i="1"/>
  <c r="N50" i="1"/>
  <c r="P49" i="1"/>
  <c r="O49" i="1"/>
  <c r="N49" i="1"/>
  <c r="O48" i="1"/>
  <c r="P48" i="1" s="1"/>
  <c r="N48" i="1"/>
  <c r="N47" i="1"/>
  <c r="N46" i="1"/>
  <c r="P45" i="1"/>
  <c r="O45" i="1"/>
  <c r="N45" i="1"/>
  <c r="P44" i="1"/>
  <c r="O44" i="1"/>
  <c r="N44" i="1"/>
  <c r="N43" i="1"/>
  <c r="O43" i="1" s="1"/>
  <c r="N42" i="1"/>
  <c r="P41" i="1"/>
  <c r="O41" i="1"/>
  <c r="N41" i="1"/>
  <c r="P40" i="1"/>
  <c r="O40" i="1"/>
  <c r="N40" i="1"/>
  <c r="O39" i="1"/>
  <c r="N39" i="1"/>
  <c r="N38" i="1"/>
  <c r="P37" i="1"/>
  <c r="O37" i="1"/>
  <c r="N37" i="1"/>
  <c r="O36" i="1"/>
  <c r="P36" i="1" s="1"/>
  <c r="N36" i="1"/>
  <c r="O35" i="1"/>
  <c r="N35" i="1"/>
  <c r="N34" i="1"/>
  <c r="P33" i="1"/>
  <c r="N33" i="1"/>
  <c r="O33" i="1" s="1"/>
  <c r="O32" i="1"/>
  <c r="P32" i="1" s="1"/>
  <c r="N32" i="1"/>
  <c r="O31" i="1"/>
  <c r="N31" i="1"/>
  <c r="N30" i="1"/>
  <c r="P29" i="1"/>
  <c r="N29" i="1"/>
  <c r="O29" i="1" s="1"/>
  <c r="O28" i="1"/>
  <c r="P28" i="1" s="1"/>
  <c r="N28" i="1"/>
  <c r="O27" i="1"/>
  <c r="N27" i="1"/>
  <c r="N26" i="1"/>
  <c r="P25" i="1"/>
  <c r="N25" i="1"/>
  <c r="O25" i="1" s="1"/>
  <c r="O24" i="1"/>
  <c r="P24" i="1" s="1"/>
  <c r="N24" i="1"/>
  <c r="N23" i="1"/>
  <c r="N22" i="1"/>
  <c r="P21" i="1"/>
  <c r="N21" i="1"/>
  <c r="O21" i="1" s="1"/>
  <c r="O20" i="1"/>
  <c r="P20" i="1" s="1"/>
  <c r="N20" i="1"/>
  <c r="N19" i="1"/>
  <c r="N18" i="1"/>
  <c r="P17" i="1"/>
  <c r="N17" i="1"/>
  <c r="O17" i="1" s="1"/>
  <c r="O16" i="1"/>
  <c r="P16" i="1" s="1"/>
  <c r="N16" i="1"/>
  <c r="N15" i="1"/>
  <c r="N14" i="1"/>
  <c r="P13" i="1"/>
  <c r="N13" i="1"/>
  <c r="O13" i="1" s="1"/>
  <c r="O12" i="1"/>
  <c r="P12" i="1" s="1"/>
  <c r="N12" i="1"/>
  <c r="N11" i="1"/>
  <c r="N10" i="1"/>
  <c r="P9" i="1"/>
  <c r="N9" i="1"/>
  <c r="O9" i="1" s="1"/>
  <c r="O8" i="1"/>
  <c r="P8" i="1" s="1"/>
  <c r="N8" i="1"/>
  <c r="N7" i="1"/>
  <c r="N6" i="1"/>
  <c r="P5" i="1"/>
  <c r="N5" i="1"/>
  <c r="O5" i="1" s="1"/>
  <c r="O4" i="1"/>
  <c r="P4" i="1" s="1"/>
  <c r="N4" i="1"/>
  <c r="N3" i="1"/>
  <c r="H34" i="5"/>
  <c r="H38" i="5"/>
  <c r="B12" i="5"/>
  <c r="C14" i="5"/>
  <c r="D15" i="5"/>
  <c r="E13" i="5"/>
  <c r="C17" i="5"/>
  <c r="C16" i="5"/>
  <c r="B13" i="5"/>
  <c r="D13" i="5"/>
  <c r="E16" i="5"/>
  <c r="B15" i="5"/>
  <c r="B16" i="5"/>
  <c r="H35" i="5"/>
  <c r="H39" i="5"/>
  <c r="D16" i="5"/>
  <c r="E17" i="5"/>
  <c r="D14" i="5"/>
  <c r="D12" i="5"/>
  <c r="D18" i="5"/>
  <c r="C12" i="5"/>
  <c r="C13" i="5"/>
  <c r="H40" i="5"/>
  <c r="B14" i="5"/>
  <c r="E12" i="5"/>
  <c r="B18" i="5"/>
  <c r="E15" i="5"/>
  <c r="E18" i="5"/>
  <c r="B17" i="5"/>
  <c r="C15" i="5"/>
  <c r="H36" i="5"/>
  <c r="H37" i="5"/>
  <c r="C18" i="5"/>
  <c r="D17" i="5"/>
  <c r="E14" i="5"/>
  <c r="B22" i="5" l="1"/>
  <c r="B23" i="5"/>
  <c r="B21" i="5"/>
  <c r="B20" i="5"/>
  <c r="O46" i="1"/>
  <c r="P46" i="1" s="1"/>
  <c r="P62" i="1"/>
  <c r="O62" i="1"/>
  <c r="P75" i="1"/>
  <c r="P78" i="1"/>
  <c r="O78" i="1"/>
  <c r="P94" i="1"/>
  <c r="O94" i="1"/>
  <c r="O115" i="1"/>
  <c r="P115" i="1" s="1"/>
  <c r="P123" i="1"/>
  <c r="O123" i="1"/>
  <c r="P135" i="1"/>
  <c r="O135" i="1"/>
  <c r="O151" i="1"/>
  <c r="P151" i="1" s="1"/>
  <c r="O167" i="1"/>
  <c r="P167" i="1" s="1"/>
  <c r="P178" i="1"/>
  <c r="O183" i="1"/>
  <c r="P183" i="1" s="1"/>
  <c r="P199" i="1"/>
  <c r="O199" i="1"/>
  <c r="O272" i="1"/>
  <c r="P272" i="1" s="1"/>
  <c r="O280" i="1"/>
  <c r="P280" i="1" s="1"/>
  <c r="O288" i="1"/>
  <c r="P288" i="1" s="1"/>
  <c r="O296" i="1"/>
  <c r="P296" i="1" s="1"/>
  <c r="O304" i="1"/>
  <c r="P304" i="1" s="1"/>
  <c r="P319" i="1"/>
  <c r="O319" i="1"/>
  <c r="P332" i="1"/>
  <c r="O332" i="1"/>
  <c r="O377" i="1"/>
  <c r="P377" i="1" s="1"/>
  <c r="P2" i="1"/>
  <c r="O2" i="1"/>
  <c r="P6" i="1"/>
  <c r="O6" i="1"/>
  <c r="P10" i="1"/>
  <c r="O10" i="1"/>
  <c r="P14" i="1"/>
  <c r="O14" i="1"/>
  <c r="P18" i="1"/>
  <c r="O18" i="1"/>
  <c r="P22" i="1"/>
  <c r="O22" i="1"/>
  <c r="P26" i="1"/>
  <c r="O26" i="1"/>
  <c r="P30" i="1"/>
  <c r="O30" i="1"/>
  <c r="P34" i="1"/>
  <c r="O34" i="1"/>
  <c r="P47" i="1"/>
  <c r="P50" i="1"/>
  <c r="O50" i="1"/>
  <c r="O59" i="1"/>
  <c r="P59" i="1" s="1"/>
  <c r="P63" i="1"/>
  <c r="P66" i="1"/>
  <c r="O66" i="1"/>
  <c r="O75" i="1"/>
  <c r="P79" i="1"/>
  <c r="P82" i="1"/>
  <c r="O82" i="1"/>
  <c r="O91" i="1"/>
  <c r="P91" i="1" s="1"/>
  <c r="P95" i="1"/>
  <c r="P98" i="1"/>
  <c r="O98" i="1"/>
  <c r="O102" i="1"/>
  <c r="P102" i="1" s="1"/>
  <c r="O111" i="1"/>
  <c r="P111" i="1" s="1"/>
  <c r="P126" i="1"/>
  <c r="O131" i="1"/>
  <c r="P131" i="1" s="1"/>
  <c r="P142" i="1"/>
  <c r="O147" i="1"/>
  <c r="P147" i="1" s="1"/>
  <c r="P163" i="1"/>
  <c r="O163" i="1"/>
  <c r="O179" i="1"/>
  <c r="P179" i="1" s="1"/>
  <c r="P190" i="1"/>
  <c r="P195" i="1"/>
  <c r="O195" i="1"/>
  <c r="O338" i="1"/>
  <c r="P338" i="1" s="1"/>
  <c r="P3" i="1"/>
  <c r="P11" i="1"/>
  <c r="P15" i="1"/>
  <c r="P19" i="1"/>
  <c r="P27" i="1"/>
  <c r="P31" i="1"/>
  <c r="P35" i="1"/>
  <c r="O38" i="1"/>
  <c r="P38" i="1" s="1"/>
  <c r="O47" i="1"/>
  <c r="P51" i="1"/>
  <c r="O54" i="1"/>
  <c r="P54" i="1" s="1"/>
  <c r="O63" i="1"/>
  <c r="P67" i="1"/>
  <c r="O70" i="1"/>
  <c r="P70" i="1" s="1"/>
  <c r="O79" i="1"/>
  <c r="P83" i="1"/>
  <c r="O86" i="1"/>
  <c r="P86" i="1" s="1"/>
  <c r="O95" i="1"/>
  <c r="P99" i="1"/>
  <c r="P103" i="1"/>
  <c r="O107" i="1"/>
  <c r="P107" i="1" s="1"/>
  <c r="P119" i="1"/>
  <c r="O119" i="1"/>
  <c r="P127" i="1"/>
  <c r="O127" i="1"/>
  <c r="O143" i="1"/>
  <c r="P143" i="1" s="1"/>
  <c r="P159" i="1"/>
  <c r="O159" i="1"/>
  <c r="P170" i="1"/>
  <c r="P175" i="1"/>
  <c r="O175" i="1"/>
  <c r="O191" i="1"/>
  <c r="P191" i="1" s="1"/>
  <c r="P232" i="1"/>
  <c r="O242" i="1"/>
  <c r="P242" i="1" s="1"/>
  <c r="O250" i="1"/>
  <c r="P250" i="1"/>
  <c r="O258" i="1"/>
  <c r="P258" i="1" s="1"/>
  <c r="O266" i="1"/>
  <c r="P266" i="1"/>
  <c r="P43" i="1"/>
  <c r="O3" i="1"/>
  <c r="O7" i="1"/>
  <c r="P7" i="1" s="1"/>
  <c r="O11" i="1"/>
  <c r="O15" i="1"/>
  <c r="O19" i="1"/>
  <c r="O23" i="1"/>
  <c r="P23" i="1" s="1"/>
  <c r="P39" i="1"/>
  <c r="P42" i="1"/>
  <c r="O42" i="1"/>
  <c r="P55" i="1"/>
  <c r="P58" i="1"/>
  <c r="O58" i="1"/>
  <c r="P71" i="1"/>
  <c r="P74" i="1"/>
  <c r="O74" i="1"/>
  <c r="P87" i="1"/>
  <c r="O90" i="1"/>
  <c r="P90" i="1" s="1"/>
  <c r="P114" i="1"/>
  <c r="O139" i="1"/>
  <c r="P139" i="1" s="1"/>
  <c r="O155" i="1"/>
  <c r="P155" i="1"/>
  <c r="O171" i="1"/>
  <c r="P171" i="1" s="1"/>
  <c r="O187" i="1"/>
  <c r="P187" i="1" s="1"/>
  <c r="O203" i="1"/>
  <c r="P203" i="1" s="1"/>
  <c r="O240" i="1"/>
  <c r="P240" i="1" s="1"/>
  <c r="O248" i="1"/>
  <c r="P248" i="1" s="1"/>
  <c r="O256" i="1"/>
  <c r="P256" i="1" s="1"/>
  <c r="O264" i="1"/>
  <c r="P264" i="1" s="1"/>
  <c r="O274" i="1"/>
  <c r="P274" i="1" s="1"/>
  <c r="O282" i="1"/>
  <c r="P282" i="1" s="1"/>
  <c r="O290" i="1"/>
  <c r="P290" i="1" s="1"/>
  <c r="O298" i="1"/>
  <c r="P298" i="1" s="1"/>
  <c r="O306" i="1"/>
  <c r="P306" i="1" s="1"/>
  <c r="O262" i="1"/>
  <c r="P262" i="1" s="1"/>
  <c r="O270" i="1"/>
  <c r="P270" i="1" s="1"/>
  <c r="O278" i="1"/>
  <c r="P278" i="1" s="1"/>
  <c r="O286" i="1"/>
  <c r="P286" i="1" s="1"/>
  <c r="O294" i="1"/>
  <c r="P294" i="1" s="1"/>
  <c r="O302" i="1"/>
  <c r="P302" i="1" s="1"/>
  <c r="P311" i="1"/>
  <c r="P324" i="1"/>
  <c r="P347" i="1"/>
  <c r="O347" i="1"/>
  <c r="P374" i="1"/>
  <c r="O374" i="1"/>
  <c r="P397" i="1"/>
  <c r="O397" i="1"/>
  <c r="P429" i="1"/>
  <c r="O429" i="1"/>
  <c r="P461" i="1"/>
  <c r="O461" i="1"/>
  <c r="P235" i="1"/>
  <c r="O246" i="1"/>
  <c r="P246" i="1" s="1"/>
  <c r="O254" i="1"/>
  <c r="P254" i="1"/>
  <c r="O106" i="1"/>
  <c r="P106" i="1" s="1"/>
  <c r="O110" i="1"/>
  <c r="P110" i="1" s="1"/>
  <c r="O114" i="1"/>
  <c r="O118" i="1"/>
  <c r="P118" i="1" s="1"/>
  <c r="O122" i="1"/>
  <c r="P122" i="1" s="1"/>
  <c r="O126" i="1"/>
  <c r="O130" i="1"/>
  <c r="P130" i="1" s="1"/>
  <c r="O134" i="1"/>
  <c r="P134" i="1" s="1"/>
  <c r="O138" i="1"/>
  <c r="P138" i="1" s="1"/>
  <c r="O142" i="1"/>
  <c r="O146" i="1"/>
  <c r="P146" i="1" s="1"/>
  <c r="O150" i="1"/>
  <c r="P150" i="1" s="1"/>
  <c r="O154" i="1"/>
  <c r="P154" i="1" s="1"/>
  <c r="O158" i="1"/>
  <c r="P158" i="1" s="1"/>
  <c r="O162" i="1"/>
  <c r="P162" i="1" s="1"/>
  <c r="O166" i="1"/>
  <c r="P166" i="1" s="1"/>
  <c r="O170" i="1"/>
  <c r="O174" i="1"/>
  <c r="P174" i="1" s="1"/>
  <c r="O178" i="1"/>
  <c r="O182" i="1"/>
  <c r="P182" i="1" s="1"/>
  <c r="O186" i="1"/>
  <c r="P186" i="1" s="1"/>
  <c r="O190" i="1"/>
  <c r="O194" i="1"/>
  <c r="P194" i="1" s="1"/>
  <c r="O198" i="1"/>
  <c r="P198" i="1" s="1"/>
  <c r="O202" i="1"/>
  <c r="P202" i="1" s="1"/>
  <c r="P206" i="1"/>
  <c r="O208" i="1"/>
  <c r="P208" i="1" s="1"/>
  <c r="P214" i="1"/>
  <c r="O216" i="1"/>
  <c r="P216" i="1" s="1"/>
  <c r="P222" i="1"/>
  <c r="O224" i="1"/>
  <c r="P224" i="1" s="1"/>
  <c r="P230" i="1"/>
  <c r="O232" i="1"/>
  <c r="O235" i="1"/>
  <c r="P243" i="1"/>
  <c r="O243" i="1"/>
  <c r="O251" i="1"/>
  <c r="P251" i="1" s="1"/>
  <c r="P255" i="1"/>
  <c r="P259" i="1"/>
  <c r="O259" i="1"/>
  <c r="P263" i="1"/>
  <c r="P267" i="1"/>
  <c r="O267" i="1"/>
  <c r="P271" i="1"/>
  <c r="P275" i="1"/>
  <c r="O275" i="1"/>
  <c r="O283" i="1"/>
  <c r="P283" i="1" s="1"/>
  <c r="P291" i="1"/>
  <c r="O291" i="1"/>
  <c r="P295" i="1"/>
  <c r="P299" i="1"/>
  <c r="O299" i="1"/>
  <c r="P307" i="1"/>
  <c r="O345" i="1"/>
  <c r="P345" i="1"/>
  <c r="P386" i="1"/>
  <c r="O386" i="1"/>
  <c r="O394" i="1"/>
  <c r="P394" i="1" s="1"/>
  <c r="P418" i="1"/>
  <c r="O418" i="1"/>
  <c r="O426" i="1"/>
  <c r="P426" i="1" s="1"/>
  <c r="P450" i="1"/>
  <c r="O450" i="1"/>
  <c r="O458" i="1"/>
  <c r="P458" i="1" s="1"/>
  <c r="P469" i="1"/>
  <c r="O469" i="1"/>
  <c r="O481" i="1"/>
  <c r="P481" i="1" s="1"/>
  <c r="P497" i="1"/>
  <c r="O497" i="1"/>
  <c r="P211" i="1"/>
  <c r="P219" i="1"/>
  <c r="P227" i="1"/>
  <c r="O238" i="1"/>
  <c r="P238" i="1" s="1"/>
  <c r="P207" i="1"/>
  <c r="P215" i="1"/>
  <c r="P223" i="1"/>
  <c r="P231" i="1"/>
  <c r="O239" i="1"/>
  <c r="P239" i="1" s="1"/>
  <c r="O247" i="1"/>
  <c r="P247" i="1" s="1"/>
  <c r="O255" i="1"/>
  <c r="O263" i="1"/>
  <c r="O279" i="1"/>
  <c r="P279" i="1" s="1"/>
  <c r="O287" i="1"/>
  <c r="P287" i="1" s="1"/>
  <c r="O295" i="1"/>
  <c r="O303" i="1"/>
  <c r="P303" i="1" s="1"/>
  <c r="P308" i="1"/>
  <c r="O316" i="1"/>
  <c r="P316" i="1" s="1"/>
  <c r="P322" i="1"/>
  <c r="P327" i="1"/>
  <c r="O335" i="1"/>
  <c r="P335" i="1" s="1"/>
  <c r="P340" i="1"/>
  <c r="P342" i="1"/>
  <c r="O342" i="1"/>
  <c r="P350" i="1"/>
  <c r="P355" i="1"/>
  <c r="P379" i="1"/>
  <c r="O379" i="1"/>
  <c r="P315" i="1"/>
  <c r="P331" i="1"/>
  <c r="P371" i="1"/>
  <c r="P398" i="1"/>
  <c r="O401" i="1"/>
  <c r="P401" i="1" s="1"/>
  <c r="P405" i="1"/>
  <c r="O405" i="1"/>
  <c r="P433" i="1"/>
  <c r="O433" i="1"/>
  <c r="P437" i="1"/>
  <c r="O437" i="1"/>
  <c r="P462" i="1"/>
  <c r="P465" i="1"/>
  <c r="O465" i="1"/>
  <c r="O470" i="1"/>
  <c r="P470" i="1" s="1"/>
  <c r="O307" i="1"/>
  <c r="P310" i="1"/>
  <c r="O315" i="1"/>
  <c r="P318" i="1"/>
  <c r="O323" i="1"/>
  <c r="P323" i="1" s="1"/>
  <c r="P326" i="1"/>
  <c r="O331" i="1"/>
  <c r="P334" i="1"/>
  <c r="O339" i="1"/>
  <c r="P339" i="1" s="1"/>
  <c r="P358" i="1"/>
  <c r="P363" i="1"/>
  <c r="O366" i="1"/>
  <c r="P366" i="1" s="1"/>
  <c r="P369" i="1"/>
  <c r="O371" i="1"/>
  <c r="O398" i="1"/>
  <c r="P402" i="1"/>
  <c r="O402" i="1"/>
  <c r="P410" i="1"/>
  <c r="O413" i="1"/>
  <c r="P413" i="1" s="1"/>
  <c r="O430" i="1"/>
  <c r="P430" i="1" s="1"/>
  <c r="P434" i="1"/>
  <c r="O434" i="1"/>
  <c r="P442" i="1"/>
  <c r="P445" i="1"/>
  <c r="O445" i="1"/>
  <c r="O462" i="1"/>
  <c r="P466" i="1"/>
  <c r="O466" i="1"/>
  <c r="P473" i="1"/>
  <c r="O473" i="1"/>
  <c r="P478" i="1"/>
  <c r="P489" i="1"/>
  <c r="O489" i="1"/>
  <c r="P494" i="1"/>
  <c r="P382" i="1"/>
  <c r="P385" i="1"/>
  <c r="O385" i="1"/>
  <c r="O389" i="1"/>
  <c r="P389" i="1" s="1"/>
  <c r="P414" i="1"/>
  <c r="P417" i="1"/>
  <c r="O417" i="1"/>
  <c r="P421" i="1"/>
  <c r="O421" i="1"/>
  <c r="P446" i="1"/>
  <c r="O449" i="1"/>
  <c r="P449" i="1" s="1"/>
  <c r="P453" i="1"/>
  <c r="O453" i="1"/>
  <c r="P474" i="1"/>
  <c r="P485" i="1"/>
  <c r="O485" i="1"/>
  <c r="P490" i="1"/>
  <c r="O501" i="1"/>
  <c r="P501" i="1" s="1"/>
  <c r="P346" i="1"/>
  <c r="P354" i="1"/>
  <c r="P362" i="1"/>
  <c r="P370" i="1"/>
  <c r="P378" i="1"/>
  <c r="P390" i="1"/>
  <c r="O393" i="1"/>
  <c r="P393" i="1" s="1"/>
  <c r="P406" i="1"/>
  <c r="P409" i="1"/>
  <c r="O409" i="1"/>
  <c r="P422" i="1"/>
  <c r="P425" i="1"/>
  <c r="O425" i="1"/>
  <c r="P438" i="1"/>
  <c r="P441" i="1"/>
  <c r="O441" i="1"/>
  <c r="P454" i="1"/>
  <c r="O457" i="1"/>
  <c r="P457" i="1" s="1"/>
  <c r="P477" i="1"/>
  <c r="O477" i="1"/>
  <c r="P482" i="1"/>
  <c r="P493" i="1"/>
  <c r="O493" i="1"/>
  <c r="P498" i="1"/>
</calcChain>
</file>

<file path=xl/sharedStrings.xml><?xml version="1.0" encoding="utf-8"?>
<sst xmlns="http://schemas.openxmlformats.org/spreadsheetml/2006/main" count="4127" uniqueCount="648">
  <si>
    <t>Order_ID</t>
  </si>
  <si>
    <t>Order_Date</t>
  </si>
  <si>
    <t>Customer_Name</t>
  </si>
  <si>
    <t>Gender</t>
  </si>
  <si>
    <t>Age</t>
  </si>
  <si>
    <t>City</t>
  </si>
  <si>
    <t>Product_Category</t>
  </si>
  <si>
    <t>Product_Name</t>
  </si>
  <si>
    <t>Quantity</t>
  </si>
  <si>
    <t>Unit_Price</t>
  </si>
  <si>
    <t>Discount (%)</t>
  </si>
  <si>
    <t>Payment_Method</t>
  </si>
  <si>
    <t>Salesperson</t>
  </si>
  <si>
    <t>Gross Sales</t>
  </si>
  <si>
    <t>Discount Amount</t>
  </si>
  <si>
    <t>Net Revenue</t>
  </si>
  <si>
    <t>ORD-00001</t>
  </si>
  <si>
    <t>Chinedu Yusuf</t>
  </si>
  <si>
    <t>Male</t>
  </si>
  <si>
    <t>Ibadan</t>
  </si>
  <si>
    <t>Office Supplies</t>
  </si>
  <si>
    <t>Stapler</t>
  </si>
  <si>
    <t>Cash</t>
  </si>
  <si>
    <t>Staff 08 - Grace K.</t>
  </si>
  <si>
    <t>ORD-00002</t>
  </si>
  <si>
    <t>Bolanle Balogun</t>
  </si>
  <si>
    <t>Abeokuta</t>
  </si>
  <si>
    <t>Furniture</t>
  </si>
  <si>
    <t>Bookshelf</t>
  </si>
  <si>
    <t>Transfer</t>
  </si>
  <si>
    <t>Staff 10 - Amaka U.</t>
  </si>
  <si>
    <t>ORD-00003</t>
  </si>
  <si>
    <t>Obinna Ibekwe</t>
  </si>
  <si>
    <t>Female</t>
  </si>
  <si>
    <t>Abuja</t>
  </si>
  <si>
    <t>Beverages</t>
  </si>
  <si>
    <t>Soft Drink Carton</t>
  </si>
  <si>
    <t>Staff 06 - Bisi A.</t>
  </si>
  <si>
    <t>ORD-00004</t>
  </si>
  <si>
    <t>Ngozi Nwosu</t>
  </si>
  <si>
    <t>Lagos</t>
  </si>
  <si>
    <t>Dining Table Set</t>
  </si>
  <si>
    <t>Staff 09 - Chinedu O.</t>
  </si>
  <si>
    <t>ORD-00005</t>
  </si>
  <si>
    <t>Kunle Adekunle</t>
  </si>
  <si>
    <t>Electronics</t>
  </si>
  <si>
    <t>LED TV 43-inch</t>
  </si>
  <si>
    <t>POS</t>
  </si>
  <si>
    <t>Staff 02 - Ngozi E.</t>
  </si>
  <si>
    <t>ORD-00006</t>
  </si>
  <si>
    <t>Ibrahim2 Bello</t>
  </si>
  <si>
    <t>Technology</t>
  </si>
  <si>
    <t>Smartphone</t>
  </si>
  <si>
    <t>ORD-00007</t>
  </si>
  <si>
    <t>Michael Nwosu</t>
  </si>
  <si>
    <t>Malt Drink Carton</t>
  </si>
  <si>
    <t>Staff 01 - Adewale O.</t>
  </si>
  <si>
    <t>ORD-00008</t>
  </si>
  <si>
    <t>Yemi Bello</t>
  </si>
  <si>
    <t>DVD Player</t>
  </si>
  <si>
    <t>Staff 04 - Fatima M.</t>
  </si>
  <si>
    <t>ORD-00009</t>
  </si>
  <si>
    <t>Emeka Chukwu</t>
  </si>
  <si>
    <t>ORD-00010</t>
  </si>
  <si>
    <t>Ndidi Balogun</t>
  </si>
  <si>
    <t>Cosmetics</t>
  </si>
  <si>
    <t>Body Lotion</t>
  </si>
  <si>
    <t>ORD-00011</t>
  </si>
  <si>
    <t>Staff 05 - Emeka N.</t>
  </si>
  <si>
    <t>ORD-00012</t>
  </si>
  <si>
    <t>Kelechi Yusuf</t>
  </si>
  <si>
    <t>Oyo</t>
  </si>
  <si>
    <t>ORD-00013</t>
  </si>
  <si>
    <t>Jide Balogun</t>
  </si>
  <si>
    <t>Fruit Juice Pack</t>
  </si>
  <si>
    <t>ORD-00014</t>
  </si>
  <si>
    <t>Segun Eze</t>
  </si>
  <si>
    <t>Office Chair</t>
  </si>
  <si>
    <t>ORD-00015</t>
  </si>
  <si>
    <t>ORD-00016</t>
  </si>
  <si>
    <t>Uche Nwosu</t>
  </si>
  <si>
    <t>Wardrobe</t>
  </si>
  <si>
    <t>ORD-00017</t>
  </si>
  <si>
    <t>Abiodun Eze</t>
  </si>
  <si>
    <t>ORD-00018</t>
  </si>
  <si>
    <t>Ibrahim Adekunle</t>
  </si>
  <si>
    <t>Printer Ink Cartridge</t>
  </si>
  <si>
    <t>ORD-00019</t>
  </si>
  <si>
    <t>ORD-00020</t>
  </si>
  <si>
    <t>Samuel Musa</t>
  </si>
  <si>
    <t>Perfume</t>
  </si>
  <si>
    <t>ORD-00021</t>
  </si>
  <si>
    <t>Wireless Router</t>
  </si>
  <si>
    <t>ORD-00022</t>
  </si>
  <si>
    <t>Staff 03 - Tunde B.</t>
  </si>
  <si>
    <t>ORD-00023</t>
  </si>
  <si>
    <t>Oluwaseun Nwosu</t>
  </si>
  <si>
    <t>ORD-00024</t>
  </si>
  <si>
    <t>ORD-00025</t>
  </si>
  <si>
    <t>Chinedu Adebayo</t>
  </si>
  <si>
    <t>Ife</t>
  </si>
  <si>
    <t>Bluetooth Speaker</t>
  </si>
  <si>
    <t>ORD-00026</t>
  </si>
  <si>
    <t>ORD-00027</t>
  </si>
  <si>
    <t>ORD-00028</t>
  </si>
  <si>
    <t>Kunle Nnamdi</t>
  </si>
  <si>
    <t>ORD-00029</t>
  </si>
  <si>
    <t>Victor Ogundipe</t>
  </si>
  <si>
    <t>Filing Cabinet</t>
  </si>
  <si>
    <t>ORD-00030</t>
  </si>
  <si>
    <t>Esther Lawal</t>
  </si>
  <si>
    <t>Laptop</t>
  </si>
  <si>
    <t>Staff 07 - Yusuf I.</t>
  </si>
  <si>
    <t>ORD-00031</t>
  </si>
  <si>
    <t>A4 Paper Ream</t>
  </si>
  <si>
    <t>ORD-00032</t>
  </si>
  <si>
    <t>Uche Eze</t>
  </si>
  <si>
    <t>ORD-00033</t>
  </si>
  <si>
    <t>Abiodun Adekunle</t>
  </si>
  <si>
    <t>ORD-00034</t>
  </si>
  <si>
    <t>External Hard Drive</t>
  </si>
  <si>
    <t>ORD-00035</t>
  </si>
  <si>
    <t>Ngozi Ibekwe</t>
  </si>
  <si>
    <t>ORD-00036</t>
  </si>
  <si>
    <t>ORD-00037</t>
  </si>
  <si>
    <t>Bottled Water Carton</t>
  </si>
  <si>
    <t>ORD-00038</t>
  </si>
  <si>
    <t>ORD-00039</t>
  </si>
  <si>
    <t>Ibrahim Afolabi</t>
  </si>
  <si>
    <t>Skincare Kit</t>
  </si>
  <si>
    <t>ORD-00040</t>
  </si>
  <si>
    <t>ORD-00041</t>
  </si>
  <si>
    <t>Amaka Afolabi</t>
  </si>
  <si>
    <t>ORD-00042</t>
  </si>
  <si>
    <t>ORD-00043</t>
  </si>
  <si>
    <t>ORD-00044</t>
  </si>
  <si>
    <t>ORD-00045</t>
  </si>
  <si>
    <t>Ifeoma Nnamdi</t>
  </si>
  <si>
    <t>ORD-00046</t>
  </si>
  <si>
    <t>ORD-00047</t>
  </si>
  <si>
    <t>ORD-00048</t>
  </si>
  <si>
    <t>ORD-00049</t>
  </si>
  <si>
    <t>ORD-00050</t>
  </si>
  <si>
    <t>Chinedu Adeyemi</t>
  </si>
  <si>
    <t>ORD-00051</t>
  </si>
  <si>
    <t>Grace Chukwu</t>
  </si>
  <si>
    <t>ORD-00052</t>
  </si>
  <si>
    <t>ORD-00053</t>
  </si>
  <si>
    <t>ORD-00054</t>
  </si>
  <si>
    <t>ORD-00055</t>
  </si>
  <si>
    <t>ORD-00056</t>
  </si>
  <si>
    <t>ORD-00057</t>
  </si>
  <si>
    <t>ORD-00058</t>
  </si>
  <si>
    <t>ORD-00059</t>
  </si>
  <si>
    <t>ORD-00060</t>
  </si>
  <si>
    <t>Yusuf Adeyemi</t>
  </si>
  <si>
    <t>ORD-00061</t>
  </si>
  <si>
    <t>Ibrahim2 Abubakar</t>
  </si>
  <si>
    <t>ORD-00062</t>
  </si>
  <si>
    <t>ORD-00063</t>
  </si>
  <si>
    <t>ORD-00064</t>
  </si>
  <si>
    <t>Aisha Nwosu</t>
  </si>
  <si>
    <t>ORD-00065</t>
  </si>
  <si>
    <t>ORD-00066</t>
  </si>
  <si>
    <t>ORD-00067</t>
  </si>
  <si>
    <t>Damilola Okafor</t>
  </si>
  <si>
    <t>ORD-00068</t>
  </si>
  <si>
    <t>ORD-00069</t>
  </si>
  <si>
    <t>Damilola Nnamdi</t>
  </si>
  <si>
    <t>ORD-00070</t>
  </si>
  <si>
    <t>ORD-00071</t>
  </si>
  <si>
    <t>ORD-00072</t>
  </si>
  <si>
    <t>Lipstick Set</t>
  </si>
  <si>
    <t>ORD-00073</t>
  </si>
  <si>
    <t>ORD-00074</t>
  </si>
  <si>
    <t>ORD-00075</t>
  </si>
  <si>
    <t>ORD-00076</t>
  </si>
  <si>
    <t>Kelechi Eze</t>
  </si>
  <si>
    <t>ORD-00077</t>
  </si>
  <si>
    <t>ORD-00078</t>
  </si>
  <si>
    <t>ORD-00079</t>
  </si>
  <si>
    <t>ORD-00080</t>
  </si>
  <si>
    <t>Abiodun Adebayo</t>
  </si>
  <si>
    <t>ORD-00081</t>
  </si>
  <si>
    <t>ORD-00082</t>
  </si>
  <si>
    <t>Joy Ibekwe</t>
  </si>
  <si>
    <t>ORD-00083</t>
  </si>
  <si>
    <t>Home Theater System</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</si>
  <si>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</si>
  <si>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</si>
  <si>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</si>
  <si>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</si>
  <si>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</si>
  <si>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</si>
  <si>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</si>
  <si>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</si>
  <si>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</si>
  <si>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</si>
  <si>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</si>
  <si>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</si>
  <si>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</si>
  <si>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</si>
  <si>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</si>
  <si>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</si>
  <si>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</si>
  <si>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</si>
  <si>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</si>
  <si>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</si>
  <si>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</si>
  <si>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</si>
  <si>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</si>
  <si>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</si>
  <si>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</si>
  <si>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</si>
  <si>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Hassan Yusuf</t>
  </si>
  <si>
    <t>ORD-00110</t>
  </si>
  <si>
    <t>ORD-00111</t>
  </si>
  <si>
    <t>ORD-00112</t>
  </si>
  <si>
    <t>Jide Ogundipe</t>
  </si>
  <si>
    <t>ORD-00113</t>
  </si>
  <si>
    <t>ORD-00114</t>
  </si>
  <si>
    <t>ORD-00115</t>
  </si>
  <si>
    <t>ORD-00116</t>
  </si>
  <si>
    <t>Kelechi Adeyemi</t>
  </si>
  <si>
    <t>ORD-00117</t>
  </si>
  <si>
    <t>ORD-00118</t>
  </si>
  <si>
    <t>ORD-00119</t>
  </si>
  <si>
    <t>ORD-00120</t>
  </si>
  <si>
    <t>ORD-00121</t>
  </si>
  <si>
    <t>Chidinma Yusuf</t>
  </si>
  <si>
    <t>ORD-00122</t>
  </si>
  <si>
    <t>ORD-00123</t>
  </si>
  <si>
    <t>ORD-00124</t>
  </si>
  <si>
    <t>ORD-00125</t>
  </si>
  <si>
    <t>ORD-00126</t>
  </si>
  <si>
    <t>ORD-00127</t>
  </si>
  <si>
    <t>ORD-00128</t>
  </si>
  <si>
    <t>Emeka Adeyemi</t>
  </si>
  <si>
    <t>ORD-00129</t>
  </si>
  <si>
    <t>ORD-00130</t>
  </si>
  <si>
    <t>ORD-00131</t>
  </si>
  <si>
    <t>ORD-00132</t>
  </si>
  <si>
    <t>ORD-00133</t>
  </si>
  <si>
    <t>ORD-00134</t>
  </si>
  <si>
    <t>ORD-00135</t>
  </si>
  <si>
    <t>Abiodun Musa</t>
  </si>
  <si>
    <t>ORD-00136</t>
  </si>
  <si>
    <t>Esther Adeyemi</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</si>
  <si>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</si>
  <si>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</si>
  <si>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</si>
  <si>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</si>
  <si>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</si>
  <si>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</si>
  <si>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</si>
  <si>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</si>
  <si>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</si>
  <si>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</si>
  <si>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</si>
  <si>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</si>
  <si>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</si>
  <si>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</si>
  <si>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</si>
  <si>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</si>
  <si>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</si>
  <si>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</si>
  <si>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</si>
  <si>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</si>
  <si>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</si>
  <si>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</si>
  <si>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</si>
  <si>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</si>
  <si>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David Adebayo</t>
  </si>
  <si>
    <t>ORD-00161</t>
  </si>
  <si>
    <t>ORD-00162</t>
  </si>
  <si>
    <t>ORD-00163</t>
  </si>
  <si>
    <t>ORD-00164</t>
  </si>
  <si>
    <t>ORD-00165</t>
  </si>
  <si>
    <t>ORD-00166</t>
  </si>
  <si>
    <t>ORD-00167</t>
  </si>
  <si>
    <t>ORD-00168</t>
  </si>
  <si>
    <t>ORD-00169</t>
  </si>
  <si>
    <t>ORD-00170</t>
  </si>
  <si>
    <t>Yemi Yusuf</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</si>
  <si>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</si>
  <si>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</si>
  <si>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</si>
  <si>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</si>
  <si>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</si>
  <si>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</si>
  <si>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</si>
  <si>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</si>
  <si>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</si>
  <si>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</si>
  <si>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</si>
  <si>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</si>
  <si>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</si>
  <si>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</si>
  <si>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</si>
  <si>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</si>
  <si>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</si>
  <si>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</si>
  <si>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</si>
  <si>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</si>
  <si>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</si>
  <si>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</si>
  <si>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</si>
  <si>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</si>
  <si>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</si>
  <si>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</si>
  <si>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</si>
  <si>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Bolanle Abubakar</t>
  </si>
  <si>
    <t>ORD-00198</t>
  </si>
  <si>
    <t>ORD-00199</t>
  </si>
  <si>
    <t>ORD-00200</t>
  </si>
  <si>
    <t>ORD-00201</t>
  </si>
  <si>
    <t>ORD-00202</t>
  </si>
  <si>
    <t>ORD-00203</t>
  </si>
  <si>
    <t>ORD-00204</t>
  </si>
  <si>
    <t>ORD-00205</t>
  </si>
  <si>
    <t>ORD-00206</t>
  </si>
  <si>
    <t>ORD-00207</t>
  </si>
  <si>
    <t>ORD-00208</t>
  </si>
  <si>
    <t>ORD-00209</t>
  </si>
  <si>
    <t>ORD-00210</t>
  </si>
  <si>
    <t>Yusuf Adebayo</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</si>
  <si>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</si>
  <si>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</si>
  <si>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</si>
  <si>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</si>
  <si>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</si>
  <si>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</si>
  <si>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</si>
  <si>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</si>
  <si>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</si>
  <si>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</si>
  <si>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</si>
  <si>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</si>
  <si>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</si>
  <si>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</si>
  <si>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</si>
  <si>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</si>
  <si>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</si>
  <si>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</si>
  <si>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</si>
  <si>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</si>
  <si>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</si>
  <si>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</si>
  <si>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</si>
  <si>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</si>
  <si>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</si>
  <si>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</si>
  <si>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</si>
  <si>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</si>
  <si>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</si>
  <si>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</si>
  <si>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</si>
  <si>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</si>
  <si>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</si>
  <si>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</si>
  <si>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</si>
  <si>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</si>
  <si>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</si>
  <si>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</si>
  <si>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</si>
  <si>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</si>
  <si>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</si>
  <si>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</si>
  <si>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</si>
  <si>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</si>
  <si>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</si>
  <si>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</si>
  <si>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</si>
  <si>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</si>
  <si>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</si>
  <si>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</si>
  <si>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</si>
  <si>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</si>
  <si>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</si>
  <si>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</si>
  <si>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</si>
  <si>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</si>
  <si>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</si>
  <si>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</si>
  <si>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</si>
  <si>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</si>
  <si>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</si>
  <si>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</si>
  <si>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</si>
  <si>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</si>
  <si>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</si>
  <si>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</si>
  <si>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</si>
  <si>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</si>
  <si>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</si>
  <si>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</si>
  <si>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</si>
  <si>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</si>
  <si>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</si>
  <si>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</si>
  <si>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</si>
  <si>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</si>
  <si>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</si>
  <si>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</si>
  <si>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</si>
  <si>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</si>
  <si>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</si>
  <si>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</si>
  <si>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</si>
  <si>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</si>
  <si>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</si>
  <si>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</si>
  <si>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</si>
  <si>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</si>
  <si>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</si>
  <si>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</si>
  <si>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</si>
  <si>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</si>
  <si>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</si>
  <si>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</si>
  <si>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</si>
  <si>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</si>
  <si>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</si>
  <si>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</si>
  <si>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</si>
  <si>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</si>
  <si>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</si>
  <si>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</si>
  <si>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</si>
  <si>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</si>
  <si>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</si>
  <si>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</si>
  <si>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</si>
  <si>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</si>
  <si>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</si>
  <si>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</si>
  <si>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</si>
  <si>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</si>
  <si>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</si>
  <si>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</si>
  <si>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</si>
  <si>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</si>
  <si>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</si>
  <si>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</si>
  <si>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</si>
  <si>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</si>
  <si>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</si>
  <si>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</si>
  <si>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</si>
  <si>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</si>
  <si>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</si>
  <si>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</si>
  <si>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</si>
  <si>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</si>
  <si>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</si>
  <si>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</si>
  <si>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</si>
  <si>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</si>
  <si>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</si>
  <si>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</si>
  <si>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</si>
  <si>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</si>
  <si>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</si>
  <si>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Ifeoma Nwosu</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</si>
  <si>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</si>
  <si>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</si>
  <si>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</si>
  <si>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</si>
  <si>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</si>
  <si>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</si>
  <si>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</si>
  <si>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</si>
  <si>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</si>
  <si>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</si>
  <si>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</si>
  <si>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</si>
  <si>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</si>
  <si>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</si>
  <si>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</si>
  <si>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</si>
  <si>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</si>
  <si>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</si>
  <si>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</si>
  <si>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</si>
  <si>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</si>
  <si>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</si>
  <si>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</si>
  <si>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</si>
  <si>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</si>
  <si>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</si>
  <si>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</si>
  <si>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</si>
  <si>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</si>
  <si>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</si>
  <si>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</si>
  <si>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</si>
  <si>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</si>
  <si>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</si>
  <si>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</si>
  <si>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</si>
  <si>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</si>
  <si>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</si>
  <si>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</si>
  <si>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</si>
  <si>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</si>
  <si>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</si>
  <si>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</si>
  <si>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</si>
  <si>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</si>
  <si>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</si>
  <si>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</si>
  <si>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</si>
  <si>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</si>
  <si>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</si>
  <si>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</si>
  <si>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</si>
  <si>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</si>
  <si>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</si>
  <si>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</si>
  <si>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</si>
  <si>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</si>
  <si>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</si>
  <si>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</si>
  <si>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</si>
  <si>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</si>
  <si>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</si>
  <si>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</si>
  <si>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</si>
  <si>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</si>
  <si>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</si>
  <si>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</si>
  <si>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</si>
  <si>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</si>
  <si>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</si>
  <si>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</si>
  <si>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</si>
  <si>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</si>
  <si>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</si>
  <si>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</si>
  <si>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</si>
  <si>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</si>
  <si>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</si>
  <si>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</si>
  <si>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</si>
  <si>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</si>
  <si>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</si>
  <si>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</si>
  <si>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</si>
  <si>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</si>
  <si>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</si>
  <si>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</si>
  <si>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</si>
  <si>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</si>
  <si>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</si>
  <si>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</si>
  <si>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</si>
  <si>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</si>
  <si>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</si>
  <si>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</si>
  <si>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</si>
  <si>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</si>
  <si>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</si>
  <si>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</si>
  <si>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</si>
  <si>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</si>
  <si>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</si>
  <si>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</si>
  <si>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</si>
  <si>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</si>
  <si>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</si>
  <si>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</si>
  <si>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</si>
  <si>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</si>
  <si>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</si>
  <si>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</si>
  <si>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</si>
  <si>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</si>
  <si>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</si>
  <si>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</si>
  <si>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</si>
  <si>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</si>
  <si>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</si>
  <si>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</si>
  <si>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</si>
  <si>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</si>
  <si>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</si>
  <si>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</si>
  <si>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</si>
  <si>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</si>
  <si>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</si>
  <si>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</si>
  <si>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</si>
  <si>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</si>
  <si>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</si>
  <si>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</si>
  <si>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</si>
  <si>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</si>
  <si>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</si>
  <si>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</si>
  <si>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</si>
  <si>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</si>
  <si>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</si>
  <si>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</si>
  <si>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</si>
  <si>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</si>
  <si>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</si>
  <si>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</si>
  <si>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</si>
  <si>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</si>
  <si>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</si>
  <si>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</si>
  <si>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</si>
  <si>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</si>
  <si>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</si>
  <si>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</si>
  <si>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</si>
  <si>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</si>
  <si>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Row Labels</t>
  </si>
  <si>
    <t>Grand Total</t>
  </si>
  <si>
    <t>Sum of Net Revenue</t>
  </si>
  <si>
    <t>Sum of Discount Amount</t>
  </si>
  <si>
    <t>Sum of Gross Sales</t>
  </si>
  <si>
    <t>Count of Order_ID</t>
  </si>
  <si>
    <t>Total Revenue</t>
  </si>
  <si>
    <t>Total Orders</t>
  </si>
  <si>
    <t>Total Discount</t>
  </si>
  <si>
    <t>Best Product</t>
  </si>
  <si>
    <t>Best Sales-persons</t>
  </si>
  <si>
    <t>Average Orders Value</t>
  </si>
  <si>
    <t>Jul</t>
  </si>
  <si>
    <t>Aug</t>
  </si>
  <si>
    <t>Sep</t>
  </si>
  <si>
    <t>Oct</t>
  </si>
  <si>
    <t>Nov</t>
  </si>
  <si>
    <t>Dec</t>
  </si>
  <si>
    <t>Jan</t>
  </si>
  <si>
    <t>Feb</t>
  </si>
  <si>
    <t>Mar</t>
  </si>
  <si>
    <t>Apr</t>
  </si>
  <si>
    <t>May</t>
  </si>
  <si>
    <t>Jun</t>
  </si>
  <si>
    <t>Count of Customer_Name</t>
  </si>
  <si>
    <t>18-27</t>
  </si>
  <si>
    <t>28-37</t>
  </si>
  <si>
    <t>38-47</t>
  </si>
  <si>
    <t>48-57</t>
  </si>
  <si>
    <t>58-67</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</si>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</sst>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quot;₦&quot;#,##0;[Red]&quot;₦&quot;#,##0"/>
    <numFmt numFmtId="166" formatCode="#.0,&quot;k&quot;"/>
    <numFmt numFmtId="167" formatCode="#.0,&quot;K&quot;"/>
    <numFmt numFmtId="168" formatCode="&quot;₦&quot;#.0,,&quot;M&quot;"/>
    <numFmt numFmtId="169" formatCode="&quot;₦&quot;#.0,&quot;K&quot;"/>
  </numFmts>
  <fonts count="4" x14ac:knownFonts="1">
    <font>
      <sz val="11"/>
      <color theme="1"/>
      <name val="Calibri"/>
      <family val="2"/>
      <charset val="1"/>
    </font>
    <font>
      <b/>
      <sz val="11"/>
      <color rgb="FFFFFFFF"/>
      <name val="Arial"/>
      <charset val="1"/>
    </font>
    <font>
      <sz val="10"/>
      <name val="Arial"/>
      <charset val="1"/>
    </font>
    <font>
      <b/>
      <sz val="11"/>
      <color theme="1"/>
      <name val="Calibri"/>
      <family val="2"/>
    </font>
  </fonts>
  <fills count="3">
    <fill>
      <patternFill patternType="none"/>
    </fill>
    <fill>
      <patternFill patternType="gray125"/>
    </fill>
    <fill>
      <patternFill patternType="solid">
        <fgColor rgb="FF2F5496"/>
        <bgColor rgb="FF666699"/>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0" borderId="1" xfId="0" applyFont="1" applyBorder="1"/>
    <xf numFmtId="164" fontId="2" fillId="0" borderId="1" xfId="0" applyNumberFormat="1" applyFont="1" applyBorder="1"/>
    <xf numFmtId="0" fontId="2" fillId="0" borderId="1" xfId="0" applyFont="1" applyBorder="1" applyAlignment="1">
      <alignment horizontal="right"/>
    </xf>
    <xf numFmtId="3" fontId="2" fillId="0" borderId="1" xfId="0" applyNumberFormat="1" applyFont="1" applyBorder="1" applyAlignment="1">
      <alignment horizontal="right"/>
    </xf>
    <xf numFmtId="9" fontId="2" fillId="0" borderId="1" xfId="0" applyNumberFormat="1" applyFont="1" applyBorder="1" applyAlignment="1">
      <alignment horizontal="right"/>
    </xf>
    <xf numFmtId="0" fontId="0" fillId="0" borderId="0" xfId="0" pivotButton="1"/>
    <xf numFmtId="0" fontId="0" fillId="0" borderId="0" xfId="0" applyAlignment="1">
      <alignment horizontal="left"/>
    </xf>
    <xf numFmtId="0" fontId="3" fillId="0" borderId="0" xfId="0" applyFont="1"/>
    <xf numFmtId="165" fontId="3" fillId="0" borderId="0" xfId="0" applyNumberFormat="1" applyFont="1"/>
    <xf numFmtId="3" fontId="0" fillId="0" borderId="0" xfId="0" applyNumberFormat="1"/>
    <xf numFmtId="166" fontId="0" fillId="0" borderId="0" xfId="0" applyNumberFormat="1"/>
    <xf numFmtId="167" fontId="0" fillId="0" borderId="0" xfId="0" applyNumberFormat="1"/>
    <xf numFmtId="0" fontId="0" fillId="0" borderId="2" xfId="0" applyBorder="1"/>
    <xf numFmtId="0" fontId="3" fillId="0" borderId="2" xfId="0" applyFont="1" applyBorder="1"/>
    <xf numFmtId="168" fontId="0" fillId="0" borderId="0" xfId="0" applyNumberFormat="1"/>
    <xf numFmtId="169" fontId="0" fillId="0" borderId="0" xfId="0" applyNumberFormat="1"/>
    <xf numFmtId="0" fontId="0" fillId="0" borderId="0" xfId="0" applyNumberFormat="1"/>
  </cellXfs>
  <cellStyles count="1">
    <cellStyle name="Normal" xfId="0" builtinId="0"/>
  </cellStyles>
  <dxfs count="54">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numFmt numFmtId="167" formatCode="#.0,&quot;K&quot;"/>
    </dxf>
    <dxf>
      <numFmt numFmtId="166" formatCode="#.0,&quot;k&quot;"/>
    </dxf>
    <dxf>
      <fill>
        <patternFill>
          <bgColor rgb="FFD0CECE"/>
        </patternFill>
      </fill>
    </dxf>
    <dxf>
      <font>
        <b/>
        <i val="0"/>
        <sz val="12"/>
        <color theme="0"/>
      </font>
      <fill>
        <patternFill>
          <bgColor rgb="FF843C0C"/>
        </patternFill>
      </fill>
    </dxf>
    <dxf>
      <font>
        <b/>
        <i val="0"/>
        <sz val="12"/>
        <color rgb="FFCC6600"/>
      </font>
      <fill>
        <patternFill>
          <bgColor rgb="FFD0CECE"/>
        </patternFill>
      </fill>
    </dxf>
    <dxf>
      <fill>
        <patternFill patternType="none">
          <bgColor auto="1"/>
        </patternFill>
      </fill>
    </dxf>
    <dxf>
      <font>
        <b/>
        <i val="0"/>
        <sz val="12"/>
        <color rgb="FF00B050"/>
      </font>
      <fill>
        <patternFill>
          <bgColor rgb="FFD0CECE"/>
        </patternFill>
      </fill>
    </dxf>
    <dxf>
      <fill>
        <patternFill patternType="none">
          <fgColor auto="1"/>
          <bgColor auto="1"/>
        </patternFill>
      </fill>
    </dxf>
    <dxf>
      <font>
        <b/>
        <i val="0"/>
        <sz val="12"/>
      </font>
      <fill>
        <patternFill>
          <bgColor rgb="FFD0CECE"/>
        </patternFill>
      </fill>
      <border diagonalUp="0" diagonalDown="0">
        <left/>
        <right/>
        <top/>
        <bottom/>
        <vertical/>
        <horizontal/>
      </border>
    </dxf>
    <dxf>
      <fill>
        <patternFill patternType="solid">
          <bgColor theme="3" tint="0.39994506668294322"/>
        </patternFill>
      </fill>
    </dxf>
  </dxfs>
  <tableStyles count="8" defaultTableStyle="TableStyleMedium2" defaultPivotStyle="PivotStyleLight16">
    <tableStyle name="Slicer Style 1" pivot="0" table="0" count="1" xr9:uid="{0D64C3B4-7561-442B-9B7B-B93F98C8615F}">
      <tableStyleElement type="wholeTable" dxfId="53"/>
    </tableStyle>
    <tableStyle name="Slicer Style 10" pivot="0" table="0" count="1" xr9:uid="{8B7ABDEA-C9B5-454A-A93B-9E36D5F7F239}">
      <tableStyleElement type="wholeTable" dxfId="52"/>
    </tableStyle>
    <tableStyle name="Slicer Style 2" pivot="0" table="0" count="1" xr9:uid="{3713DFB7-4083-4400-A733-58C13FF85197}">
      <tableStyleElement type="wholeTable" dxfId="51"/>
    </tableStyle>
    <tableStyle name="Slicer Style 3" pivot="0" table="0" count="1" xr9:uid="{219D5014-C9D3-43EC-91CA-2523AFA2BF5A}">
      <tableStyleElement type="wholeTable" dxfId="50"/>
    </tableStyle>
    <tableStyle name="Slicer Style 4" pivot="0" table="0" count="1" xr9:uid="{197E7484-01E0-424A-AD3B-85EF4D8B5EEC}">
      <tableStyleElement type="wholeTable" dxfId="49"/>
    </tableStyle>
    <tableStyle name="Slicer Style 5" pivot="0" table="0" count="1" xr9:uid="{97EA9D96-CA79-4D60-8541-D429F849A6A7}">
      <tableStyleElement type="wholeTable" dxfId="48"/>
    </tableStyle>
    <tableStyle name="Slicer Style 6" pivot="0" table="0" count="1" xr9:uid="{439CEA81-C88D-40B9-9425-3197962A5FA2}">
      <tableStyleElement type="wholeTable" dxfId="47"/>
    </tableStyle>
    <tableStyle name="Slicer Style 8" pivot="0" table="0" count="1" xr9:uid="{F61A9624-08F6-4EC7-94DD-F565B6C7AA06}">
      <tableStyleElement type="wholeTable" dxfId="46"/>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mruColors>
      <color rgb="FF843C0C"/>
      <color rgb="FFD0CECE"/>
      <color rgb="FFCC6600"/>
      <color rgb="FF3A72EE"/>
    </mruColors>
  </colors>
  <extLst>
    <ext xmlns:x14="http://schemas.microsoft.com/office/spreadsheetml/2009/9/main" uri="{EB79DEF2-80B8-43e5-95BD-54CBDDF9020C}">
      <x14:slicerStyles defaultSlicerStyle="SlicerStyleLight1">
        <x14:slicerStyle name="Slicer Style 1"/>
        <x14:slicerStyle name="Slicer Style 10"/>
        <x14:slicerStyle name="Slicer Style 2"/>
        <x14:slicerStyle name="Slicer Style 3"/>
        <x14:slicerStyle name="Slicer Style 4"/>
        <x14:slicerStyle name="Slicer Style 5"/>
        <x14:slicerStyle name="Slicer Style 6"/>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[Sales_Dataset_500_Records.xlsx]Pivot Table!PivotTable4</c:name>
    <c:fmtId val="22"/>
  </c:pivotSource>
  <c:chart>
    <c:title>
      <c:tx>
        <c:rich>
          <a:bodyPr rot="0" spcFirstLastPara="1" vertOverflow="ellipsis" vert="horz" wrap="square" anchor="ctr" anchorCtr="1"/>
          <a:lstStyle/>
          <a:p>
            <a:pPr>
              <a:defRPr sz="1600" b="1" i="0" u="none" strike="noStrike" kern="1200" baseline="0">
                <a:solidFill>
                  <a:srgbClr val="843C0C"/>
                </a:solidFill>
                <a:latin typeface="+mn-lt"/>
                <a:ea typeface="+mn-ea"/>
                <a:cs typeface="+mn-cs"/>
              </a:defRPr>
            </a:pPr>
            <a:r>
              <a:rPr lang="en-US" sz="1600">
                <a:solidFill>
                  <a:srgbClr val="843C0C"/>
                </a:solidFill>
              </a:rPr>
              <a:t>Cutomers</a:t>
            </a:r>
            <a:r>
              <a:rPr lang="en-US" sz="1600" baseline="0">
                <a:solidFill>
                  <a:srgbClr val="843C0C"/>
                </a:solidFill>
              </a:rPr>
              <a:t> by Age Range</a:t>
            </a:r>
            <a:endParaRPr lang="en-US" sz="1600">
              <a:solidFill>
                <a:srgbClr val="843C0C"/>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843C0C"/>
              </a:solidFill>
              <a:latin typeface="+mn-lt"/>
              <a:ea typeface="+mn-ea"/>
              <a:cs typeface="+mn-cs"/>
            </a:defRPr>
          </a:pPr>
          <a:endParaRPr lang="en-US"/>
        </a:p>
      </c:txPr>
    </c:title>
    <c:autoTitleDeleted val="0"/>
    <c:pivotFmts>
      <c:pivotFmt>
        <c:idx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a:sp3d/>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86351706036745"/>
          <c:y val="0.18348388743073782"/>
          <c:w val="0.86058092738407699"/>
          <c:h val="0.60236475648877219"/>
        </c:manualLayout>
      </c:layout>
      <c:bar3DChart>
        <c:barDir val="col"/>
        <c:grouping val="clustered"/>
        <c:varyColors val="0"/>
        <c:ser>
          <c:idx val="0"/>
          <c:order val="0"/>
          <c:tx>
            <c:strRef>
              <c:f>'Pivot Table'!$E$23</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a:sp3d/>
          </c:spPr>
          <c:invertIfNegative val="0"/>
          <c:cat>
            <c:strRef>
              <c:f>'Pivot Table'!$D$24:$D$29</c:f>
              <c:strCache>
                <c:ptCount val="5"/>
                <c:pt idx="0">
                  <c:v>18-27</c:v>
                </c:pt>
                <c:pt idx="1">
                  <c:v>28-37</c:v>
                </c:pt>
                <c:pt idx="2">
                  <c:v>38-47</c:v>
                </c:pt>
                <c:pt idx="3">
                  <c:v>48-57</c:v>
                </c:pt>
                <c:pt idx="4">
                  <c:v>58-67</c:v>
                </c:pt>
              </c:strCache>
            </c:strRef>
          </c:cat>
          <c:val>
            <c:numRef>
              <c:f>'Pivot Table'!$E$24:$E$29</c:f>
              <c:numCache>
                <c:formatCode>General</c:formatCode>
                <c:ptCount val="5"/>
                <c:pt idx="0">
                  <c:v>103</c:v>
                </c:pt>
                <c:pt idx="1">
                  <c:v>95</c:v>
                </c:pt>
                <c:pt idx="2">
                  <c:v>107</c:v>
                </c:pt>
                <c:pt idx="3">
                  <c:v>99</c:v>
                </c:pt>
                <c:pt idx="4">
                  <c:v>96</c:v>
                </c:pt>
              </c:numCache>
            </c:numRef>
          </c:val>
          <c:extLst>
            <c:ext xmlns:c16="http://schemas.microsoft.com/office/drawing/2014/chart" uri="{C3380CC4-5D6E-409C-BE32-E72D297353CC}">
              <c16:uniqueId val="{00000000-614F-451F-84BA-F038D2373DBA}"/>
            </c:ext>
          </c:extLst>
        </c:ser>
        <c:dLbls>
          <c:showLegendKey val="0"/>
          <c:showVal val="0"/>
          <c:showCatName val="0"/>
          <c:showSerName val="0"/>
          <c:showPercent val="0"/>
          <c:showBubbleSize val="0"/>
        </c:dLbls>
        <c:gapWidth val="150"/>
        <c:shape val="box"/>
        <c:axId val="1715283088"/>
        <c:axId val="1794139136"/>
        <c:axId val="0"/>
      </c:bar3DChart>
      <c:catAx>
        <c:axId val="1715283088"/>
        <c:scaling>
          <c:orientation val="minMax"/>
        </c:scaling>
        <c:delete val="0"/>
        <c:axPos val="b"/>
        <c:title>
          <c:tx>
            <c:rich>
              <a:bodyPr rot="0" spcFirstLastPara="1" vertOverflow="ellipsis" vert="horz" wrap="square" anchor="ctr" anchorCtr="1"/>
              <a:lstStyle/>
              <a:p>
                <a:pPr>
                  <a:defRPr sz="1000" b="1" i="0" u="none" strike="noStrike" kern="1200" baseline="0">
                    <a:solidFill>
                      <a:srgbClr val="843C0C"/>
                    </a:solidFill>
                    <a:latin typeface="+mn-lt"/>
                    <a:ea typeface="+mn-ea"/>
                    <a:cs typeface="+mn-cs"/>
                  </a:defRPr>
                </a:pPr>
                <a:r>
                  <a:rPr lang="en-GB" sz="1000">
                    <a:solidFill>
                      <a:srgbClr val="843C0C"/>
                    </a:solidFill>
                  </a:rPr>
                  <a:t>Age</a:t>
                </a:r>
                <a:r>
                  <a:rPr lang="en-GB" sz="1000" baseline="0">
                    <a:solidFill>
                      <a:srgbClr val="843C0C"/>
                    </a:solidFill>
                  </a:rPr>
                  <a:t> Range</a:t>
                </a:r>
                <a:endParaRPr lang="en-GB" sz="1000">
                  <a:solidFill>
                    <a:srgbClr val="843C0C"/>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rgbClr val="843C0C"/>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843C0C"/>
                </a:solidFill>
                <a:latin typeface="+mn-lt"/>
                <a:ea typeface="+mn-ea"/>
                <a:cs typeface="+mn-cs"/>
              </a:defRPr>
            </a:pPr>
            <a:endParaRPr lang="en-NG"/>
          </a:p>
        </c:txPr>
        <c:crossAx val="1794139136"/>
        <c:crosses val="autoZero"/>
        <c:auto val="1"/>
        <c:lblAlgn val="ctr"/>
        <c:lblOffset val="100"/>
        <c:noMultiLvlLbl val="0"/>
      </c:catAx>
      <c:valAx>
        <c:axId val="179413913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843C0C"/>
                    </a:solidFill>
                    <a:latin typeface="+mn-lt"/>
                    <a:ea typeface="+mn-ea"/>
                    <a:cs typeface="+mn-cs"/>
                  </a:defRPr>
                </a:pPr>
                <a:r>
                  <a:rPr lang="en-GB" sz="1000">
                    <a:solidFill>
                      <a:srgbClr val="843C0C"/>
                    </a:solidFill>
                  </a:rPr>
                  <a:t>Nunber</a:t>
                </a:r>
                <a:r>
                  <a:rPr lang="en-GB" sz="1000" baseline="0">
                    <a:solidFill>
                      <a:srgbClr val="843C0C"/>
                    </a:solidFill>
                  </a:rPr>
                  <a:t> of Customer</a:t>
                </a:r>
                <a:endParaRPr lang="en-GB" sz="1000">
                  <a:solidFill>
                    <a:srgbClr val="843C0C"/>
                  </a:solidFill>
                </a:endParaRPr>
              </a:p>
            </c:rich>
          </c:tx>
          <c:layout>
            <c:manualLayout>
              <c:xMode val="edge"/>
              <c:yMode val="edge"/>
              <c:x val="1.2036526684164477E-2"/>
              <c:y val="0.3079702537182852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843C0C"/>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843C0C"/>
                </a:solidFill>
                <a:latin typeface="+mn-lt"/>
                <a:ea typeface="+mn-ea"/>
                <a:cs typeface="+mn-cs"/>
              </a:defRPr>
            </a:pPr>
            <a:endParaRPr lang="en-NG"/>
          </a:p>
        </c:txPr>
        <c:crossAx val="171528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[Sales_Dataset_500_Records.xlsx]Pivot Table!PivotTable5</c:name>
    <c:fmtId val="25"/>
  </c:pivotSource>
  <c:chart>
    <c:title>
      <c:tx>
        <c:rich>
          <a:bodyPr rot="0" spcFirstLastPara="1" vertOverflow="ellipsis" vert="horz" wrap="square" anchor="ctr" anchorCtr="1"/>
          <a:lstStyle/>
          <a:p>
            <a:pPr>
              <a:defRPr sz="1600" b="1" i="0" u="none" strike="noStrike" kern="1200" cap="none" spc="0" normalizeH="0" baseline="0">
                <a:solidFill>
                  <a:srgbClr val="843C0C"/>
                </a:solidFill>
                <a:latin typeface="+mj-lt"/>
                <a:ea typeface="+mj-ea"/>
                <a:cs typeface="+mj-cs"/>
              </a:defRPr>
            </a:pPr>
            <a:r>
              <a:rPr lang="en-US">
                <a:solidFill>
                  <a:srgbClr val="843C0C"/>
                </a:solidFill>
              </a:rPr>
              <a:t>Monthly</a:t>
            </a:r>
            <a:r>
              <a:rPr lang="en-US" baseline="0">
                <a:solidFill>
                  <a:srgbClr val="843C0C"/>
                </a:solidFill>
              </a:rPr>
              <a:t> Revenue</a:t>
            </a:r>
            <a:endParaRPr lang="en-US">
              <a:solidFill>
                <a:srgbClr val="843C0C"/>
              </a:solidFill>
            </a:endParaRPr>
          </a:p>
        </c:rich>
      </c:tx>
      <c:layout>
        <c:manualLayout>
          <c:xMode val="edge"/>
          <c:yMode val="edge"/>
          <c:x val="0.34384090273264734"/>
          <c:y val="3.178806620928562E-2"/>
        </c:manualLayout>
      </c:layout>
      <c:overlay val="0"/>
      <c:spPr>
        <a:solidFill>
          <a:sysClr val="window" lastClr="FFFFFF"/>
        </a:solidFill>
        <a:ln>
          <a:noFill/>
        </a:ln>
        <a:effectLst/>
      </c:spPr>
      <c:txPr>
        <a:bodyPr rot="0" spcFirstLastPara="1" vertOverflow="ellipsis" vert="horz" wrap="square" anchor="ctr" anchorCtr="1"/>
        <a:lstStyle/>
        <a:p>
          <a:pPr>
            <a:defRPr sz="1600" b="1" i="0" u="none" strike="noStrike" kern="1200" cap="none" spc="0" normalizeH="0" baseline="0">
              <a:solidFill>
                <a:srgbClr val="843C0C"/>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accent2"/>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41240843731938"/>
          <c:y val="0.21594692978174698"/>
          <c:w val="0.80058434652358446"/>
          <c:h val="0.56586345482048084"/>
        </c:manualLayout>
      </c:layout>
      <c:lineChart>
        <c:grouping val="standard"/>
        <c:varyColors val="0"/>
        <c:ser>
          <c:idx val="0"/>
          <c:order val="0"/>
          <c:tx>
            <c:strRef>
              <c:f>'Pivot Table'!$J$16</c:f>
              <c:strCache>
                <c:ptCount val="1"/>
                <c:pt idx="0">
                  <c:v>Total</c:v>
                </c:pt>
              </c:strCache>
            </c:strRef>
          </c:tx>
          <c:spPr>
            <a:ln w="41275" cap="rnd">
              <a:solidFill>
                <a:schemeClr val="accent2"/>
              </a:solidFill>
              <a:round/>
            </a:ln>
            <a:effectLst/>
          </c:spPr>
          <c:marker>
            <c:symbol val="circle"/>
            <c:size val="6"/>
            <c:spPr>
              <a:solidFill>
                <a:schemeClr val="lt1"/>
              </a:solidFill>
              <a:ln w="15875">
                <a:solidFill>
                  <a:schemeClr val="accent1"/>
                </a:solidFill>
                <a:round/>
              </a:ln>
              <a:effectLst/>
            </c:spPr>
          </c:marker>
          <c:cat>
            <c:strRef>
              <c:f>'Pivot Table'!$I$17:$I$29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Table'!$J$17:$J$29</c:f>
              <c:numCache>
                <c:formatCode>#.0,"k"</c:formatCode>
                <c:ptCount val="12"/>
                <c:pt idx="0">
                  <c:v>10127051</c:v>
                </c:pt>
                <c:pt idx="1">
                  <c:v>11649819</c:v>
                </c:pt>
                <c:pt idx="2">
                  <c:v>13025772</c:v>
                </c:pt>
                <c:pt idx="3">
                  <c:v>13094160</c:v>
                </c:pt>
                <c:pt idx="4">
                  <c:v>10812960</c:v>
                </c:pt>
                <c:pt idx="5">
                  <c:v>13635502</c:v>
                </c:pt>
                <c:pt idx="6">
                  <c:v>15350652</c:v>
                </c:pt>
                <c:pt idx="7">
                  <c:v>11878918</c:v>
                </c:pt>
                <c:pt idx="8">
                  <c:v>9417975</c:v>
                </c:pt>
                <c:pt idx="9">
                  <c:v>22488627</c:v>
                </c:pt>
                <c:pt idx="10">
                  <c:v>13560939</c:v>
                </c:pt>
                <c:pt idx="11">
                  <c:v>6230947</c:v>
                </c:pt>
              </c:numCache>
            </c:numRef>
          </c:val>
          <c:smooth val="0"/>
          <c:extLst>
            <c:ext xmlns:c16="http://schemas.microsoft.com/office/drawing/2014/chart" uri="{C3380CC4-5D6E-409C-BE32-E72D297353CC}">
              <c16:uniqueId val="{00000000-C522-494E-8B4F-8AB198480E71}"/>
            </c:ext>
          </c:extLst>
        </c:ser>
        <c:dLbls>
          <c:showLegendKey val="0"/>
          <c:showVal val="0"/>
          <c:showCatName val="0"/>
          <c:showSerName val="0"/>
          <c:showPercent val="0"/>
          <c:showBubbleSize val="0"/>
        </c:dLbls>
        <c:marker val="1"/>
        <c:smooth val="0"/>
        <c:axId val="1197141872"/>
        <c:axId val="1069559200"/>
      </c:lineChart>
      <c:catAx>
        <c:axId val="119714187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dbl" algn="ctr">
              <a:solidFill>
                <a:schemeClr val="tx1">
                  <a:alpha val="51000"/>
                </a:schemeClr>
              </a:solidFill>
              <a:round/>
            </a:ln>
            <a:effectLst/>
          </c:spPr>
        </c:minorGridlines>
        <c:title>
          <c:tx>
            <c:rich>
              <a:bodyPr rot="0" spcFirstLastPara="1" vertOverflow="ellipsis" vert="horz" wrap="square" anchor="ctr" anchorCtr="1"/>
              <a:lstStyle/>
              <a:p>
                <a:pPr>
                  <a:defRPr sz="1050" b="1" i="0" u="none" strike="noStrike" kern="1200" baseline="0">
                    <a:solidFill>
                      <a:srgbClr val="843C0C"/>
                    </a:solidFill>
                    <a:latin typeface="+mn-lt"/>
                    <a:ea typeface="+mn-ea"/>
                    <a:cs typeface="+mn-cs"/>
                  </a:defRPr>
                </a:pPr>
                <a:r>
                  <a:rPr lang="en-GB" sz="1050">
                    <a:solidFill>
                      <a:srgbClr val="843C0C"/>
                    </a:solidFill>
                  </a:rPr>
                  <a:t>Month</a:t>
                </a:r>
              </a:p>
            </c:rich>
          </c:tx>
          <c:overlay val="0"/>
          <c:spPr>
            <a:noFill/>
            <a:ln>
              <a:noFill/>
            </a:ln>
            <a:effectLst/>
          </c:spPr>
          <c:txPr>
            <a:bodyPr rot="0" spcFirstLastPara="1" vertOverflow="ellipsis" vert="horz" wrap="square" anchor="ctr" anchorCtr="1"/>
            <a:lstStyle/>
            <a:p>
              <a:pPr>
                <a:defRPr sz="1050" b="1" i="0" u="none" strike="noStrike" kern="1200" baseline="0">
                  <a:solidFill>
                    <a:srgbClr val="843C0C"/>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50" b="0" i="0" u="none" strike="noStrike" kern="1200" cap="none" spc="0" normalizeH="0" baseline="0">
                <a:solidFill>
                  <a:srgbClr val="843C0C"/>
                </a:solidFill>
                <a:latin typeface="+mn-lt"/>
                <a:ea typeface="+mn-ea"/>
                <a:cs typeface="+mn-cs"/>
              </a:defRPr>
            </a:pPr>
            <a:endParaRPr lang="en-NG"/>
          </a:p>
        </c:txPr>
        <c:crossAx val="1069559200"/>
        <c:crosses val="autoZero"/>
        <c:auto val="1"/>
        <c:lblAlgn val="ctr"/>
        <c:lblOffset val="100"/>
        <c:noMultiLvlLbl val="0"/>
      </c:catAx>
      <c:valAx>
        <c:axId val="1069559200"/>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843C0C"/>
                    </a:solidFill>
                    <a:latin typeface="+mn-lt"/>
                    <a:ea typeface="+mn-ea"/>
                    <a:cs typeface="+mn-cs"/>
                  </a:defRPr>
                </a:pPr>
                <a:r>
                  <a:rPr lang="en-GB" sz="1000">
                    <a:solidFill>
                      <a:srgbClr val="843C0C"/>
                    </a:solidFill>
                  </a:rPr>
                  <a:t>Revenue</a:t>
                </a:r>
              </a:p>
            </c:rich>
          </c:tx>
          <c:layout>
            <c:manualLayout>
              <c:xMode val="edge"/>
              <c:yMode val="edge"/>
              <c:x val="2.7649779618193556E-3"/>
              <c:y val="0.3649048902727682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843C0C"/>
                  </a:solidFill>
                  <a:latin typeface="+mn-lt"/>
                  <a:ea typeface="+mn-ea"/>
                  <a:cs typeface="+mn-cs"/>
                </a:defRPr>
              </a:pPr>
              <a:endParaRPr lang="en-NG"/>
            </a:p>
          </c:txPr>
        </c:title>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843C0C"/>
                </a:solidFill>
                <a:latin typeface="+mn-lt"/>
                <a:ea typeface="+mn-ea"/>
                <a:cs typeface="+mn-cs"/>
              </a:defRPr>
            </a:pPr>
            <a:endParaRPr lang="en-NG"/>
          </a:p>
        </c:txPr>
        <c:crossAx val="1197141872"/>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rnd" cmpd="sng" algn="ctr">
      <a:solidFill>
        <a:srgbClr val="843C0C"/>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[Sales_Dataset_500_Records.xlsx]Pivot Table!PivotTable1</c:name>
    <c:fmtId val="22"/>
  </c:pivotSource>
  <c:chart>
    <c:title>
      <c:tx>
        <c:rich>
          <a:bodyPr rot="0" spcFirstLastPara="1" vertOverflow="ellipsis" vert="horz" wrap="square" anchor="ctr" anchorCtr="1"/>
          <a:lstStyle/>
          <a:p>
            <a:pPr>
              <a:defRPr sz="2000" b="0" i="0" u="none" strike="noStrike" kern="1200" cap="none" spc="0" normalizeH="0" baseline="0">
                <a:solidFill>
                  <a:srgbClr val="843C0C"/>
                </a:solidFill>
                <a:latin typeface="+mj-lt"/>
                <a:ea typeface="+mj-ea"/>
                <a:cs typeface="+mj-cs"/>
              </a:defRPr>
            </a:pPr>
            <a:r>
              <a:rPr lang="en-US">
                <a:solidFill>
                  <a:srgbClr val="843C0C"/>
                </a:solidFill>
              </a:rPr>
              <a:t>Revenue</a:t>
            </a:r>
            <a:r>
              <a:rPr lang="en-US" baseline="0">
                <a:solidFill>
                  <a:srgbClr val="843C0C"/>
                </a:solidFill>
              </a:rPr>
              <a:t> By Product</a:t>
            </a:r>
            <a:endParaRPr lang="en-US">
              <a:solidFill>
                <a:srgbClr val="843C0C"/>
              </a:solidFill>
            </a:endParaRPr>
          </a:p>
        </c:rich>
      </c:tx>
      <c:layout>
        <c:manualLayout>
          <c:xMode val="edge"/>
          <c:yMode val="edge"/>
          <c:x val="0.24775"/>
          <c:y val="1.0355984943865668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rgbClr val="843C0C"/>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354505686789151"/>
          <c:y val="0.15023148148148149"/>
          <c:w val="0.68292716535433073"/>
          <c:h val="0.64126531058617686"/>
        </c:manualLayout>
      </c:layout>
      <c:bar3DChart>
        <c:barDir val="bar"/>
        <c:grouping val="clustered"/>
        <c:varyColors val="0"/>
        <c:ser>
          <c:idx val="0"/>
          <c:order val="0"/>
          <c:tx>
            <c:strRef>
              <c:f>'Pivot Table'!$K$1</c:f>
              <c:strCache>
                <c:ptCount val="1"/>
                <c:pt idx="0">
                  <c:v>Total</c:v>
                </c:pt>
              </c:strCache>
            </c:strRef>
          </c:tx>
          <c:spPr>
            <a:solidFill>
              <a:schemeClr val="accent2"/>
            </a:solidFill>
            <a:ln>
              <a:noFill/>
            </a:ln>
            <a:effectLst/>
            <a:sp3d/>
          </c:spPr>
          <c:invertIfNegative val="0"/>
          <c:cat>
            <c:strRef>
              <c:f>'Pivot Table'!$J$2:$J$8</c:f>
              <c:strCache>
                <c:ptCount val="6"/>
                <c:pt idx="0">
                  <c:v>Beverages</c:v>
                </c:pt>
                <c:pt idx="1">
                  <c:v>Cosmetics</c:v>
                </c:pt>
                <c:pt idx="2">
                  <c:v>Office Supplies</c:v>
                </c:pt>
                <c:pt idx="3">
                  <c:v>Furniture</c:v>
                </c:pt>
                <c:pt idx="4">
                  <c:v>Electronics</c:v>
                </c:pt>
                <c:pt idx="5">
                  <c:v>Technology</c:v>
                </c:pt>
              </c:strCache>
            </c:strRef>
          </c:cat>
          <c:val>
            <c:numRef>
              <c:f>'Pivot Table'!$K$2:$K$8</c:f>
              <c:numCache>
                <c:formatCode>#.0,"K"</c:formatCode>
                <c:ptCount val="6"/>
                <c:pt idx="0">
                  <c:v>1620758</c:v>
                </c:pt>
                <c:pt idx="1">
                  <c:v>3626370</c:v>
                </c:pt>
                <c:pt idx="2">
                  <c:v>6424696</c:v>
                </c:pt>
                <c:pt idx="3">
                  <c:v>32469504</c:v>
                </c:pt>
                <c:pt idx="4">
                  <c:v>35376590</c:v>
                </c:pt>
                <c:pt idx="5">
                  <c:v>71755404</c:v>
                </c:pt>
              </c:numCache>
            </c:numRef>
          </c:val>
          <c:extLst>
            <c:ext xmlns:c16="http://schemas.microsoft.com/office/drawing/2014/chart" uri="{C3380CC4-5D6E-409C-BE32-E72D297353CC}">
              <c16:uniqueId val="{00000000-A03F-48F7-8AFF-335DC2660626}"/>
            </c:ext>
          </c:extLst>
        </c:ser>
        <c:dLbls>
          <c:showLegendKey val="0"/>
          <c:showVal val="0"/>
          <c:showCatName val="0"/>
          <c:showSerName val="0"/>
          <c:showPercent val="0"/>
          <c:showBubbleSize val="0"/>
        </c:dLbls>
        <c:gapWidth val="150"/>
        <c:shape val="box"/>
        <c:axId val="1217307344"/>
        <c:axId val="1069558240"/>
        <c:axId val="0"/>
      </c:bar3DChart>
      <c:catAx>
        <c:axId val="121730734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rgbClr val="843C0C"/>
                    </a:solidFill>
                    <a:latin typeface="+mn-lt"/>
                    <a:ea typeface="+mn-ea"/>
                    <a:cs typeface="+mn-cs"/>
                  </a:defRPr>
                </a:pPr>
                <a:r>
                  <a:rPr lang="en-GB">
                    <a:solidFill>
                      <a:srgbClr val="843C0C"/>
                    </a:solidFill>
                  </a:rPr>
                  <a:t>Product</a:t>
                </a:r>
                <a:r>
                  <a:rPr lang="en-GB" baseline="0">
                    <a:solidFill>
                      <a:srgbClr val="843C0C"/>
                    </a:solidFill>
                  </a:rPr>
                  <a:t>  Category</a:t>
                </a:r>
                <a:endParaRPr lang="en-GB">
                  <a:solidFill>
                    <a:srgbClr val="843C0C"/>
                  </a:solidFill>
                </a:endParaRPr>
              </a:p>
            </c:rich>
          </c:tx>
          <c:layout>
            <c:manualLayout>
              <c:xMode val="edge"/>
              <c:yMode val="edge"/>
              <c:x val="1.0827646544181979E-2"/>
              <c:y val="0.32533391659375915"/>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rgbClr val="843C0C"/>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cap="none" spc="0" normalizeH="0" baseline="0">
                <a:solidFill>
                  <a:srgbClr val="843C0C"/>
                </a:solidFill>
                <a:latin typeface="+mn-lt"/>
                <a:ea typeface="+mn-ea"/>
                <a:cs typeface="+mn-cs"/>
              </a:defRPr>
            </a:pPr>
            <a:endParaRPr lang="en-NG"/>
          </a:p>
        </c:txPr>
        <c:crossAx val="1069558240"/>
        <c:crosses val="autoZero"/>
        <c:auto val="1"/>
        <c:lblAlgn val="ctr"/>
        <c:lblOffset val="100"/>
        <c:noMultiLvlLbl val="0"/>
      </c:catAx>
      <c:valAx>
        <c:axId val="106955824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900" b="0" i="0" u="none" strike="noStrike" kern="1200" cap="all" baseline="0">
                    <a:solidFill>
                      <a:srgbClr val="843C0C"/>
                    </a:solidFill>
                    <a:latin typeface="+mn-lt"/>
                    <a:ea typeface="+mn-ea"/>
                    <a:cs typeface="+mn-cs"/>
                  </a:defRPr>
                </a:pPr>
                <a:r>
                  <a:rPr lang="en-GB">
                    <a:solidFill>
                      <a:srgbClr val="843C0C"/>
                    </a:solidFill>
                  </a:rPr>
                  <a:t>Revenue</a:t>
                </a:r>
              </a:p>
            </c:rich>
          </c:tx>
          <c:overlay val="0"/>
          <c:spPr>
            <a:noFill/>
            <a:ln>
              <a:noFill/>
            </a:ln>
            <a:effectLst/>
          </c:spPr>
          <c:txPr>
            <a:bodyPr rot="0" spcFirstLastPara="1" vertOverflow="ellipsis" vert="horz" wrap="square" anchor="ctr" anchorCtr="1"/>
            <a:lstStyle/>
            <a:p>
              <a:pPr>
                <a:defRPr sz="900" b="0" i="0" u="none" strike="noStrike" kern="1200" cap="all" baseline="0">
                  <a:solidFill>
                    <a:srgbClr val="843C0C"/>
                  </a:solidFill>
                  <a:latin typeface="+mn-lt"/>
                  <a:ea typeface="+mn-ea"/>
                  <a:cs typeface="+mn-cs"/>
                </a:defRPr>
              </a:pPr>
              <a:endParaRPr lang="en-NG"/>
            </a:p>
          </c:txPr>
        </c:title>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843C0C"/>
                </a:solidFill>
                <a:latin typeface="+mn-lt"/>
                <a:ea typeface="+mn-ea"/>
                <a:cs typeface="+mn-cs"/>
              </a:defRPr>
            </a:pPr>
            <a:endParaRPr lang="en-NG"/>
          </a:p>
        </c:txPr>
        <c:crossAx val="121730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[Sales_Dataset_500_Records.xlsx]Pivot Table!PivotTable7</c:name>
    <c:fmtId val="20"/>
  </c:pivotSource>
  <c:chart>
    <c:title>
      <c:tx>
        <c:rich>
          <a:bodyPr rot="0" spcFirstLastPara="1" vertOverflow="ellipsis" vert="horz" wrap="square" anchor="ctr" anchorCtr="1"/>
          <a:lstStyle/>
          <a:p>
            <a:pPr>
              <a:defRPr sz="1800" b="1" i="0" u="none" strike="noStrike" kern="1200" baseline="0">
                <a:solidFill>
                  <a:srgbClr val="843C0C"/>
                </a:solidFill>
                <a:latin typeface="+mn-lt"/>
                <a:ea typeface="+mn-ea"/>
                <a:cs typeface="+mn-cs"/>
              </a:defRPr>
            </a:pPr>
            <a:r>
              <a:rPr lang="en-US" sz="1600">
                <a:solidFill>
                  <a:srgbClr val="843C0C"/>
                </a:solidFill>
              </a:rPr>
              <a:t>Revenue</a:t>
            </a:r>
            <a:r>
              <a:rPr lang="en-US" sz="1600" baseline="0">
                <a:solidFill>
                  <a:srgbClr val="843C0C"/>
                </a:solidFill>
              </a:rPr>
              <a:t> Generation By The citiss</a:t>
            </a:r>
            <a:endParaRPr lang="en-US" sz="1600">
              <a:solidFill>
                <a:srgbClr val="843C0C"/>
              </a:solidFill>
            </a:endParaRPr>
          </a:p>
        </c:rich>
      </c:tx>
      <c:layout>
        <c:manualLayout>
          <c:xMode val="edge"/>
          <c:yMode val="edge"/>
          <c:x val="0.13648520745014892"/>
          <c:y val="1.3343204736592531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843C0C"/>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Table'!$C$32</c:f>
              <c:strCache>
                <c:ptCount val="1"/>
                <c:pt idx="0">
                  <c:v>Total</c:v>
                </c:pt>
              </c:strCache>
            </c:strRef>
          </c:tx>
          <c:dPt>
            <c:idx val="0"/>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CAFF-4A9D-8A67-0E87BC68467C}"/>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CAFF-4A9D-8A67-0E87BC68467C}"/>
              </c:ext>
            </c:extLst>
          </c:dPt>
          <c:dPt>
            <c:idx val="2"/>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CAFF-4A9D-8A67-0E87BC68467C}"/>
              </c:ext>
            </c:extLst>
          </c:dPt>
          <c:dPt>
            <c:idx val="3"/>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CAFF-4A9D-8A67-0E87BC68467C}"/>
              </c:ext>
            </c:extLst>
          </c:dPt>
          <c:dPt>
            <c:idx val="4"/>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CAFF-4A9D-8A67-0E87BC68467C}"/>
              </c:ext>
            </c:extLst>
          </c:dPt>
          <c:dPt>
            <c:idx val="5"/>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CAFF-4A9D-8A67-0E87BC6846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Table'!$B$33:$B$39</c:f>
              <c:strCache>
                <c:ptCount val="6"/>
                <c:pt idx="0">
                  <c:v>Abeokuta</c:v>
                </c:pt>
                <c:pt idx="1">
                  <c:v>Abuja</c:v>
                </c:pt>
                <c:pt idx="2">
                  <c:v>Ibadan</c:v>
                </c:pt>
                <c:pt idx="3">
                  <c:v>Ife</c:v>
                </c:pt>
                <c:pt idx="4">
                  <c:v>Lagos</c:v>
                </c:pt>
                <c:pt idx="5">
                  <c:v>Oyo</c:v>
                </c:pt>
              </c:strCache>
            </c:strRef>
          </c:cat>
          <c:val>
            <c:numRef>
              <c:f>'Pivot Table'!$C$33:$C$39</c:f>
              <c:numCache>
                <c:formatCode>#,##0</c:formatCode>
                <c:ptCount val="6"/>
                <c:pt idx="0">
                  <c:v>20109500</c:v>
                </c:pt>
                <c:pt idx="1">
                  <c:v>27214500</c:v>
                </c:pt>
                <c:pt idx="2">
                  <c:v>34472200</c:v>
                </c:pt>
                <c:pt idx="3">
                  <c:v>30272300</c:v>
                </c:pt>
                <c:pt idx="4">
                  <c:v>23325500</c:v>
                </c:pt>
                <c:pt idx="5">
                  <c:v>31596900</c:v>
                </c:pt>
              </c:numCache>
            </c:numRef>
          </c:val>
          <c:extLst>
            <c:ext xmlns:c16="http://schemas.microsoft.com/office/drawing/2014/chart" uri="{C3380CC4-5D6E-409C-BE32-E72D297353CC}">
              <c16:uniqueId val="{0000000C-CAFF-4A9D-8A67-0E87BC68467C}"/>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rgbClr val="843C0C"/>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rgbClr val="843C0C"/>
                </a:solidFill>
                <a:latin typeface="+mn-lt"/>
                <a:ea typeface="+mn-ea"/>
                <a:cs typeface="+mn-cs"/>
              </a:defRPr>
            </a:pPr>
            <a:r>
              <a:rPr lang="en-GB">
                <a:solidFill>
                  <a:srgbClr val="843C0C"/>
                </a:solidFill>
              </a:rPr>
              <a:t>Product</a:t>
            </a:r>
            <a:r>
              <a:rPr lang="en-GB" baseline="0">
                <a:solidFill>
                  <a:srgbClr val="843C0C"/>
                </a:solidFill>
              </a:rPr>
              <a:t> Type By Quantity Sold</a:t>
            </a:r>
            <a:endParaRPr lang="en-GB">
              <a:solidFill>
                <a:srgbClr val="843C0C"/>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rgbClr val="843C0C"/>
              </a:solidFill>
              <a:latin typeface="+mn-lt"/>
              <a:ea typeface="+mn-ea"/>
              <a:cs typeface="+mn-cs"/>
            </a:defRPr>
          </a:pPr>
          <a:endParaRPr lang="en-GB"/>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Table'!$G$34</c:f>
              <c:strCache>
                <c:ptCount val="1"/>
                <c:pt idx="0">
                  <c:v>Beverages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843C0C"/>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Table'!$H$33</c:f>
              <c:strCache>
                <c:ptCount val="1"/>
                <c:pt idx="0">
                  <c:v>Sum of Quantity</c:v>
                </c:pt>
              </c:strCache>
            </c:strRef>
          </c:cat>
          <c:val>
            <c:numRef>
              <c:f>'Pivot Table'!$H$34</c:f>
              <c:numCache>
                <c:formatCode>General</c:formatCode>
                <c:ptCount val="1"/>
                <c:pt idx="0">
                  <c:v>483</c:v>
                </c:pt>
              </c:numCache>
            </c:numRef>
          </c:val>
          <c:extLst>
            <c:ext xmlns:c16="http://schemas.microsoft.com/office/drawing/2014/chart" uri="{C3380CC4-5D6E-409C-BE32-E72D297353CC}">
              <c16:uniqueId val="{00000000-4F8A-4A21-8354-102849F14C7D}"/>
            </c:ext>
          </c:extLst>
        </c:ser>
        <c:ser>
          <c:idx val="1"/>
          <c:order val="1"/>
          <c:tx>
            <c:strRef>
              <c:f>'Pivot Table'!$G$35</c:f>
              <c:strCache>
                <c:ptCount val="1"/>
                <c:pt idx="0">
                  <c:v>Cosmetics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843C0C"/>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Table'!$H$33</c:f>
              <c:strCache>
                <c:ptCount val="1"/>
                <c:pt idx="0">
                  <c:v>Sum of Quantity</c:v>
                </c:pt>
              </c:strCache>
            </c:strRef>
          </c:cat>
          <c:val>
            <c:numRef>
              <c:f>'Pivot Table'!$H$35</c:f>
              <c:numCache>
                <c:formatCode>General</c:formatCode>
                <c:ptCount val="1"/>
                <c:pt idx="0">
                  <c:v>408</c:v>
                </c:pt>
              </c:numCache>
            </c:numRef>
          </c:val>
          <c:extLst>
            <c:ext xmlns:c16="http://schemas.microsoft.com/office/drawing/2014/chart" uri="{C3380CC4-5D6E-409C-BE32-E72D297353CC}">
              <c16:uniqueId val="{00000001-4F8A-4A21-8354-102849F14C7D}"/>
            </c:ext>
          </c:extLst>
        </c:ser>
        <c:ser>
          <c:idx val="2"/>
          <c:order val="2"/>
          <c:tx>
            <c:strRef>
              <c:f>'Pivot Table'!$G$36</c:f>
              <c:strCache>
                <c:ptCount val="1"/>
                <c:pt idx="0">
                  <c:v>Electronics</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843C0C"/>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Table'!$H$33</c:f>
              <c:strCache>
                <c:ptCount val="1"/>
                <c:pt idx="0">
                  <c:v>Sum of Quantity</c:v>
                </c:pt>
              </c:strCache>
            </c:strRef>
          </c:cat>
          <c:val>
            <c:numRef>
              <c:f>'Pivot Table'!$H$36</c:f>
              <c:numCache>
                <c:formatCode>General</c:formatCode>
                <c:ptCount val="1"/>
                <c:pt idx="0">
                  <c:v>460</c:v>
                </c:pt>
              </c:numCache>
            </c:numRef>
          </c:val>
          <c:extLst>
            <c:ext xmlns:c16="http://schemas.microsoft.com/office/drawing/2014/chart" uri="{C3380CC4-5D6E-409C-BE32-E72D297353CC}">
              <c16:uniqueId val="{00000002-4F8A-4A21-8354-102849F14C7D}"/>
            </c:ext>
          </c:extLst>
        </c:ser>
        <c:ser>
          <c:idx val="3"/>
          <c:order val="3"/>
          <c:tx>
            <c:strRef>
              <c:f>'Pivot Table'!$G$37</c:f>
              <c:strCache>
                <c:ptCount val="1"/>
                <c:pt idx="0">
                  <c:v>Furniture</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843C0C"/>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Table'!$H$33</c:f>
              <c:strCache>
                <c:ptCount val="1"/>
                <c:pt idx="0">
                  <c:v>Sum of Quantity</c:v>
                </c:pt>
              </c:strCache>
            </c:strRef>
          </c:cat>
          <c:val>
            <c:numRef>
              <c:f>'Pivot Table'!$H$37</c:f>
              <c:numCache>
                <c:formatCode>General</c:formatCode>
                <c:ptCount val="1"/>
                <c:pt idx="0">
                  <c:v>431</c:v>
                </c:pt>
              </c:numCache>
            </c:numRef>
          </c:val>
          <c:extLst>
            <c:ext xmlns:c16="http://schemas.microsoft.com/office/drawing/2014/chart" uri="{C3380CC4-5D6E-409C-BE32-E72D297353CC}">
              <c16:uniqueId val="{00000003-4F8A-4A21-8354-102849F14C7D}"/>
            </c:ext>
          </c:extLst>
        </c:ser>
        <c:ser>
          <c:idx val="4"/>
          <c:order val="4"/>
          <c:tx>
            <c:strRef>
              <c:f>'Pivot Table'!$G$38</c:f>
              <c:strCache>
                <c:ptCount val="1"/>
                <c:pt idx="0">
                  <c:v>Office Supplies</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843C0C"/>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Table'!$H$33</c:f>
              <c:strCache>
                <c:ptCount val="1"/>
                <c:pt idx="0">
                  <c:v>Sum of Quantity</c:v>
                </c:pt>
              </c:strCache>
            </c:strRef>
          </c:cat>
          <c:val>
            <c:numRef>
              <c:f>'Pivot Table'!$H$38</c:f>
              <c:numCache>
                <c:formatCode>General</c:formatCode>
                <c:ptCount val="1"/>
                <c:pt idx="0">
                  <c:v>387</c:v>
                </c:pt>
              </c:numCache>
            </c:numRef>
          </c:val>
          <c:extLst>
            <c:ext xmlns:c16="http://schemas.microsoft.com/office/drawing/2014/chart" uri="{C3380CC4-5D6E-409C-BE32-E72D297353CC}">
              <c16:uniqueId val="{00000004-4F8A-4A21-8354-102849F14C7D}"/>
            </c:ext>
          </c:extLst>
        </c:ser>
        <c:ser>
          <c:idx val="5"/>
          <c:order val="5"/>
          <c:tx>
            <c:strRef>
              <c:f>'Pivot Table'!$G$39</c:f>
              <c:strCache>
                <c:ptCount val="1"/>
                <c:pt idx="0">
                  <c:v>Technology</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843C0C"/>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Table'!$H$33</c:f>
              <c:strCache>
                <c:ptCount val="1"/>
                <c:pt idx="0">
                  <c:v>Sum of Quantity</c:v>
                </c:pt>
              </c:strCache>
            </c:strRef>
          </c:cat>
          <c:val>
            <c:numRef>
              <c:f>'Pivot Table'!$H$39</c:f>
              <c:numCache>
                <c:formatCode>General</c:formatCode>
                <c:ptCount val="1"/>
                <c:pt idx="0">
                  <c:v>510</c:v>
                </c:pt>
              </c:numCache>
            </c:numRef>
          </c:val>
          <c:extLst>
            <c:ext xmlns:c16="http://schemas.microsoft.com/office/drawing/2014/chart" uri="{C3380CC4-5D6E-409C-BE32-E72D297353CC}">
              <c16:uniqueId val="{00000005-4F8A-4A21-8354-102849F14C7D}"/>
            </c:ext>
          </c:extLst>
        </c:ser>
        <c:dLbls>
          <c:showLegendKey val="0"/>
          <c:showVal val="1"/>
          <c:showCatName val="0"/>
          <c:showSerName val="0"/>
          <c:showPercent val="0"/>
          <c:showBubbleSize val="0"/>
        </c:dLbls>
        <c:gapWidth val="65"/>
        <c:shape val="box"/>
        <c:axId val="101738287"/>
        <c:axId val="71449535"/>
        <c:axId val="0"/>
        <c:extLst>
          <c:ext xmlns:c15="http://schemas.microsoft.com/office/drawing/2012/chart" uri="{02D57815-91ED-43cb-92C2-25804820EDAC}">
            <c15:filteredBarSeries>
              <c15:ser>
                <c:idx val="6"/>
                <c:order val="6"/>
                <c:tx>
                  <c:strRef>
                    <c:extLst>
                      <c:ext uri="{02D57815-91ED-43cb-92C2-25804820EDAC}">
                        <c15:formulaRef>
                          <c15:sqref>'Pivot Table'!$G$40</c15:sqref>
                        </c15:formulaRef>
                      </c:ext>
                    </c:extLst>
                    <c:strCache>
                      <c:ptCount val="1"/>
                      <c:pt idx="0">
                        <c:v>Grand Total</c:v>
                      </c:pt>
                    </c:strCache>
                  </c:strRef>
                </c:tx>
                <c:spPr>
                  <a:solidFill>
                    <a:schemeClr val="accent1">
                      <a:lumMod val="60000"/>
                      <a:alpha val="85000"/>
                    </a:schemeClr>
                  </a:solidFill>
                  <a:ln w="9525" cap="flat" cmpd="sng" algn="ctr">
                    <a:solidFill>
                      <a:schemeClr val="accent1">
                        <a:lumMod val="60000"/>
                        <a:lumMod val="75000"/>
                      </a:schemeClr>
                    </a:solidFill>
                    <a:round/>
                  </a:ln>
                  <a:effectLst/>
                  <a:sp3d contourW="9525">
                    <a:contourClr>
                      <a:schemeClr val="accent1">
                        <a:lumMod val="60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strRef>
                    <c:extLst>
                      <c:ext uri="{02D57815-91ED-43cb-92C2-25804820EDAC}">
                        <c15:formulaRef>
                          <c15:sqref>'Pivot Table'!$H$33</c15:sqref>
                        </c15:formulaRef>
                      </c:ext>
                    </c:extLst>
                    <c:strCache>
                      <c:ptCount val="1"/>
                      <c:pt idx="0">
                        <c:v>Sum of Quantity</c:v>
                      </c:pt>
                    </c:strCache>
                  </c:strRef>
                </c:cat>
                <c:val>
                  <c:numRef>
                    <c:extLst>
                      <c:ext uri="{02D57815-91ED-43cb-92C2-25804820EDAC}">
                        <c15:formulaRef>
                          <c15:sqref>'Pivot Table'!$H$40</c15:sqref>
                        </c15:formulaRef>
                      </c:ext>
                    </c:extLst>
                    <c:numCache>
                      <c:formatCode>General</c:formatCode>
                      <c:ptCount val="1"/>
                      <c:pt idx="0">
                        <c:v>2679</c:v>
                      </c:pt>
                    </c:numCache>
                  </c:numRef>
                </c:val>
                <c:extLst>
                  <c:ext xmlns:c16="http://schemas.microsoft.com/office/drawing/2014/chart" uri="{C3380CC4-5D6E-409C-BE32-E72D297353CC}">
                    <c16:uniqueId val="{00000006-4F8A-4A21-8354-102849F14C7D}"/>
                  </c:ext>
                </c:extLst>
              </c15:ser>
            </c15:filteredBarSeries>
          </c:ext>
        </c:extLst>
      </c:bar3DChart>
      <c:catAx>
        <c:axId val="1017382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0" i="0" u="none" strike="noStrike" kern="1200" cap="all" baseline="0">
                <a:solidFill>
                  <a:srgbClr val="843C0C"/>
                </a:solidFill>
                <a:latin typeface="+mn-lt"/>
                <a:ea typeface="+mn-ea"/>
                <a:cs typeface="+mn-cs"/>
              </a:defRPr>
            </a:pPr>
            <a:endParaRPr lang="en-NG"/>
          </a:p>
        </c:txPr>
        <c:crossAx val="71449535"/>
        <c:crosses val="autoZero"/>
        <c:auto val="1"/>
        <c:lblAlgn val="ctr"/>
        <c:lblOffset val="100"/>
        <c:noMultiLvlLbl val="0"/>
      </c:catAx>
      <c:valAx>
        <c:axId val="7144953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43C0C"/>
                </a:solidFill>
                <a:latin typeface="+mn-lt"/>
                <a:ea typeface="+mn-ea"/>
                <a:cs typeface="+mn-cs"/>
              </a:defRPr>
            </a:pPr>
            <a:endParaRPr lang="en-NG"/>
          </a:p>
        </c:txPr>
        <c:crossAx val="101738287"/>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1050" b="0" i="0" u="none" strike="noStrike" kern="1200" baseline="0">
                <a:solidFill>
                  <a:srgbClr val="843C0C"/>
                </a:solidFill>
                <a:latin typeface="+mn-lt"/>
                <a:ea typeface="+mn-ea"/>
                <a:cs typeface="+mn-cs"/>
              </a:defRPr>
            </a:pPr>
            <a:endParaRPr lang="en-NG"/>
          </a:p>
        </c:txPr>
      </c:dTable>
      <c:spPr>
        <a:noFill/>
        <a:ln>
          <a:noFill/>
        </a:ln>
        <a:effectLst/>
      </c:spPr>
    </c:plotArea>
    <c:plotVisOnly val="1"/>
    <c:dispBlanksAs val="gap"/>
    <c:showDLblsOverMax val="0"/>
  </c:chart>
  <c:spPr>
    <a:gradFill flip="none" rotWithShape="1">
      <a:gsLst>
        <a:gs pos="0">
          <a:schemeClr val="accent2">
            <a:lumMod val="5000"/>
            <a:lumOff val="95000"/>
          </a:schemeClr>
        </a:gs>
        <a:gs pos="100000">
          <a:schemeClr val="accent2">
            <a:lumMod val="45000"/>
            <a:lumOff val="55000"/>
          </a:schemeClr>
        </a:gs>
        <a:gs pos="100000">
          <a:schemeClr val="accent2">
            <a:lumMod val="75000"/>
          </a:schemeClr>
        </a:gs>
        <a:gs pos="100000">
          <a:schemeClr val="accent2">
            <a:lumMod val="75000"/>
          </a:schemeClr>
        </a:gs>
      </a:gsLst>
      <a:lin ang="5400000" scaled="1"/>
      <a:tileRect/>
    </a:gradFill>
    <a:ln w="9525" cap="flat" cmpd="sng" algn="ctr">
      <a:solidFill>
        <a:schemeClr val="dk1">
          <a:lumMod val="25000"/>
          <a:lumOff val="75000"/>
        </a:schemeClr>
      </a:solidFill>
      <a:round/>
    </a:ln>
    <a:effectLst>
      <a:glow rad="63500">
        <a:srgbClr val="843C0C">
          <a:alpha val="40000"/>
        </a:srgbClr>
      </a:glow>
      <a:outerShdw blurRad="50800" dist="50800" dir="5400000" algn="ctr" rotWithShape="0">
        <a:srgbClr val="843C0C"/>
      </a:outerShdw>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304800</xdr:colOff>
      <xdr:row>4</xdr:row>
      <xdr:rowOff>76200</xdr:rowOff>
    </xdr:from>
    <xdr:ext cx="1255600" cy="311496"/>
    <xdr:sp macro="" textlink="">
      <xdr:nvSpPr>
        <xdr:cNvPr id="11" name="TextBox 10">
          <a:extLst>
            <a:ext uri="{FF2B5EF4-FFF2-40B4-BE49-F238E27FC236}">
              <a16:creationId xmlns:a16="http://schemas.microsoft.com/office/drawing/2014/main" id="{BFC92DC1-55E6-3F27-8B14-CD2ABD9EBE4B}"/>
            </a:ext>
          </a:extLst>
        </xdr:cNvPr>
        <xdr:cNvSpPr txBox="1"/>
      </xdr:nvSpPr>
      <xdr:spPr>
        <a:xfrm>
          <a:off x="304800" y="838200"/>
          <a:ext cx="12556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a:solidFill>
                <a:schemeClr val="bg1"/>
              </a:solidFill>
            </a:rPr>
            <a:t>Total Revenue</a:t>
          </a:r>
          <a:endParaRPr lang="en-NG" sz="1400" b="1">
            <a:solidFill>
              <a:schemeClr val="bg1"/>
            </a:solidFill>
          </a:endParaRPr>
        </a:p>
      </xdr:txBody>
    </xdr:sp>
    <xdr:clientData/>
  </xdr:oneCellAnchor>
  <xdr:twoCellAnchor>
    <xdr:from>
      <xdr:col>7</xdr:col>
      <xdr:colOff>404813</xdr:colOff>
      <xdr:row>0</xdr:row>
      <xdr:rowOff>0</xdr:rowOff>
    </xdr:from>
    <xdr:to>
      <xdr:col>20</xdr:col>
      <xdr:colOff>286969</xdr:colOff>
      <xdr:row>3</xdr:row>
      <xdr:rowOff>178593</xdr:rowOff>
    </xdr:to>
    <xdr:grpSp>
      <xdr:nvGrpSpPr>
        <xdr:cNvPr id="25" name="Group 24">
          <a:extLst>
            <a:ext uri="{FF2B5EF4-FFF2-40B4-BE49-F238E27FC236}">
              <a16:creationId xmlns:a16="http://schemas.microsoft.com/office/drawing/2014/main" id="{A65D3186-FDBF-B127-390C-7B06FCE0598D}"/>
            </a:ext>
          </a:extLst>
        </xdr:cNvPr>
        <xdr:cNvGrpSpPr/>
      </xdr:nvGrpSpPr>
      <xdr:grpSpPr>
        <a:xfrm>
          <a:off x="4655344" y="0"/>
          <a:ext cx="7776000" cy="750093"/>
          <a:chOff x="3817833" y="0"/>
          <a:chExt cx="6897818" cy="750093"/>
        </a:xfrm>
        <a:solidFill>
          <a:schemeClr val="tx2">
            <a:lumMod val="20000"/>
            <a:lumOff val="80000"/>
          </a:schemeClr>
        </a:solidFill>
      </xdr:grpSpPr>
      <xdr:sp macro="" textlink="">
        <xdr:nvSpPr>
          <xdr:cNvPr id="13" name="Rectangle 12">
            <a:extLst>
              <a:ext uri="{FF2B5EF4-FFF2-40B4-BE49-F238E27FC236}">
                <a16:creationId xmlns:a16="http://schemas.microsoft.com/office/drawing/2014/main" id="{2237D510-9D22-4D00-BA22-12D86C6DD090}"/>
              </a:ext>
            </a:extLst>
          </xdr:cNvPr>
          <xdr:cNvSpPr/>
        </xdr:nvSpPr>
        <xdr:spPr>
          <a:xfrm>
            <a:off x="3817833" y="0"/>
            <a:ext cx="6897818" cy="750093"/>
          </a:xfrm>
          <a:prstGeom prst="rect">
            <a:avLst/>
          </a:prstGeom>
          <a:grpFill/>
          <a:ln>
            <a:noFill/>
          </a:ln>
          <a:effectLst>
            <a:glow rad="127000">
              <a:srgbClr val="843C0C"/>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4" name="TextBox 13">
            <a:extLst>
              <a:ext uri="{FF2B5EF4-FFF2-40B4-BE49-F238E27FC236}">
                <a16:creationId xmlns:a16="http://schemas.microsoft.com/office/drawing/2014/main" id="{65EBB987-2502-063B-0E96-CE8AD5FDEBB9}"/>
              </a:ext>
            </a:extLst>
          </xdr:cNvPr>
          <xdr:cNvSpPr txBox="1"/>
        </xdr:nvSpPr>
        <xdr:spPr>
          <a:xfrm>
            <a:off x="4929188" y="72627"/>
            <a:ext cx="4738688" cy="475060"/>
          </a:xfrm>
          <a:prstGeom prst="rect">
            <a:avLst/>
          </a:prstGeom>
          <a:solidFill>
            <a:schemeClr val="accent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chemeClr val="bg1"/>
                </a:solidFill>
              </a:rPr>
              <a:t>SALES</a:t>
            </a:r>
            <a:r>
              <a:rPr lang="en-GB" sz="2800" b="1" baseline="0">
                <a:solidFill>
                  <a:schemeClr val="bg1"/>
                </a:solidFill>
              </a:rPr>
              <a:t> DASHBOARD</a:t>
            </a:r>
          </a:p>
          <a:p>
            <a:pPr algn="ctr"/>
            <a:endParaRPr lang="en-NG" sz="2800" b="1">
              <a:solidFill>
                <a:schemeClr val="bg1"/>
              </a:solidFill>
            </a:endParaRPr>
          </a:p>
        </xdr:txBody>
      </xdr:sp>
    </xdr:grpSp>
    <xdr:clientData/>
  </xdr:twoCellAnchor>
  <xdr:twoCellAnchor>
    <xdr:from>
      <xdr:col>0</xdr:col>
      <xdr:colOff>58207</xdr:colOff>
      <xdr:row>0</xdr:row>
      <xdr:rowOff>31750</xdr:rowOff>
    </xdr:from>
    <xdr:to>
      <xdr:col>2</xdr:col>
      <xdr:colOff>126540</xdr:colOff>
      <xdr:row>34</xdr:row>
      <xdr:rowOff>142875</xdr:rowOff>
    </xdr:to>
    <xdr:sp macro="" textlink="">
      <xdr:nvSpPr>
        <xdr:cNvPr id="15" name="Rectangle 14">
          <a:extLst>
            <a:ext uri="{FF2B5EF4-FFF2-40B4-BE49-F238E27FC236}">
              <a16:creationId xmlns:a16="http://schemas.microsoft.com/office/drawing/2014/main" id="{762F1599-FB8A-4731-9F3A-43A80AE4E23B}"/>
            </a:ext>
          </a:extLst>
        </xdr:cNvPr>
        <xdr:cNvSpPr/>
      </xdr:nvSpPr>
      <xdr:spPr>
        <a:xfrm>
          <a:off x="58207" y="31750"/>
          <a:ext cx="1282771" cy="6588125"/>
        </a:xfrm>
        <a:prstGeom prst="rect">
          <a:avLst/>
        </a:prstGeom>
        <a:solidFill>
          <a:schemeClr val="bg2">
            <a:lumMod val="90000"/>
          </a:schemeClr>
        </a:solidFill>
        <a:ln>
          <a:noFill/>
        </a:ln>
        <a:effectLst>
          <a:glow rad="127000">
            <a:srgbClr val="843C0C"/>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312211</xdr:colOff>
      <xdr:row>4</xdr:row>
      <xdr:rowOff>162718</xdr:rowOff>
    </xdr:from>
    <xdr:to>
      <xdr:col>17</xdr:col>
      <xdr:colOff>62461</xdr:colOff>
      <xdr:row>17</xdr:row>
      <xdr:rowOff>170218</xdr:rowOff>
    </xdr:to>
    <xdr:sp macro="" textlink="">
      <xdr:nvSpPr>
        <xdr:cNvPr id="16" name="Rectangle 15">
          <a:extLst>
            <a:ext uri="{FF2B5EF4-FFF2-40B4-BE49-F238E27FC236}">
              <a16:creationId xmlns:a16="http://schemas.microsoft.com/office/drawing/2014/main" id="{451C8737-35FE-458C-83BD-D4F8EAE87339}"/>
            </a:ext>
          </a:extLst>
        </xdr:cNvPr>
        <xdr:cNvSpPr/>
      </xdr:nvSpPr>
      <xdr:spPr>
        <a:xfrm>
          <a:off x="5777180" y="924718"/>
          <a:ext cx="4608000" cy="2484000"/>
        </a:xfrm>
        <a:prstGeom prst="rect">
          <a:avLst/>
        </a:prstGeom>
        <a:solidFill>
          <a:schemeClr val="bg1"/>
        </a:solidFill>
        <a:ln>
          <a:solidFill>
            <a:schemeClr val="bg1"/>
          </a:solidFill>
        </a:ln>
        <a:effectLst>
          <a:glow rad="228600">
            <a:srgbClr val="843C0C">
              <a:alpha val="40000"/>
            </a:srgb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22</xdr:col>
      <xdr:colOff>548662</xdr:colOff>
      <xdr:row>0</xdr:row>
      <xdr:rowOff>35678</xdr:rowOff>
    </xdr:from>
    <xdr:to>
      <xdr:col>25</xdr:col>
      <xdr:colOff>259697</xdr:colOff>
      <xdr:row>3</xdr:row>
      <xdr:rowOff>184178</xdr:rowOff>
    </xdr:to>
    <xdr:sp macro="" textlink="">
      <xdr:nvSpPr>
        <xdr:cNvPr id="17" name="Rectangle 16">
          <a:extLst>
            <a:ext uri="{FF2B5EF4-FFF2-40B4-BE49-F238E27FC236}">
              <a16:creationId xmlns:a16="http://schemas.microsoft.com/office/drawing/2014/main" id="{56BE3299-4953-4585-A8F7-925A1EBECD21}"/>
            </a:ext>
          </a:extLst>
        </xdr:cNvPr>
        <xdr:cNvSpPr/>
      </xdr:nvSpPr>
      <xdr:spPr>
        <a:xfrm>
          <a:off x="14019733" y="35678"/>
          <a:ext cx="1548000" cy="720000"/>
        </a:xfrm>
        <a:prstGeom prst="rect">
          <a:avLst/>
        </a:prstGeom>
        <a:solidFill>
          <a:schemeClr val="bg1"/>
        </a:solidFill>
        <a:ln>
          <a:solidFill>
            <a:schemeClr val="bg1"/>
          </a:solidFill>
        </a:ln>
        <a:effectLst>
          <a:glow rad="127000">
            <a:srgbClr val="843C0C"/>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310092</xdr:colOff>
      <xdr:row>0</xdr:row>
      <xdr:rowOff>44980</xdr:rowOff>
    </xdr:from>
    <xdr:to>
      <xdr:col>7</xdr:col>
      <xdr:colOff>281292</xdr:colOff>
      <xdr:row>4</xdr:row>
      <xdr:rowOff>2980</xdr:rowOff>
    </xdr:to>
    <xdr:sp macro="" textlink="">
      <xdr:nvSpPr>
        <xdr:cNvPr id="18" name="Rectangle 17">
          <a:extLst>
            <a:ext uri="{FF2B5EF4-FFF2-40B4-BE49-F238E27FC236}">
              <a16:creationId xmlns:a16="http://schemas.microsoft.com/office/drawing/2014/main" id="{258D7332-0678-4015-9B50-592D403126AF}"/>
            </a:ext>
          </a:extLst>
        </xdr:cNvPr>
        <xdr:cNvSpPr/>
      </xdr:nvSpPr>
      <xdr:spPr>
        <a:xfrm>
          <a:off x="2723092" y="44980"/>
          <a:ext cx="1780950" cy="720000"/>
        </a:xfrm>
        <a:prstGeom prst="rect">
          <a:avLst/>
        </a:prstGeom>
        <a:solidFill>
          <a:schemeClr val="bg1"/>
        </a:solidFill>
        <a:ln>
          <a:solidFill>
            <a:schemeClr val="bg1"/>
          </a:solidFill>
        </a:ln>
        <a:effectLst>
          <a:glow rad="127000">
            <a:srgbClr val="843C0C"/>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47063</xdr:colOff>
      <xdr:row>12</xdr:row>
      <xdr:rowOff>52798</xdr:rowOff>
    </xdr:from>
    <xdr:to>
      <xdr:col>9</xdr:col>
      <xdr:colOff>97407</xdr:colOff>
      <xdr:row>17</xdr:row>
      <xdr:rowOff>180298</xdr:rowOff>
    </xdr:to>
    <xdr:sp macro="" textlink="">
      <xdr:nvSpPr>
        <xdr:cNvPr id="20" name="Rectangle 19">
          <a:extLst>
            <a:ext uri="{FF2B5EF4-FFF2-40B4-BE49-F238E27FC236}">
              <a16:creationId xmlns:a16="http://schemas.microsoft.com/office/drawing/2014/main" id="{334A1888-7484-4160-A13E-FF34B6277D95}"/>
            </a:ext>
          </a:extLst>
        </xdr:cNvPr>
        <xdr:cNvSpPr/>
      </xdr:nvSpPr>
      <xdr:spPr>
        <a:xfrm>
          <a:off x="3690376" y="2338798"/>
          <a:ext cx="1872000" cy="1080000"/>
        </a:xfrm>
        <a:prstGeom prst="rect">
          <a:avLst/>
        </a:prstGeom>
        <a:solidFill>
          <a:schemeClr val="bg1"/>
        </a:solidFill>
        <a:ln>
          <a:solidFill>
            <a:schemeClr val="bg1"/>
          </a:solidFill>
        </a:ln>
        <a:effectLst>
          <a:glow rad="127000">
            <a:srgbClr val="843C0C"/>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326231</xdr:colOff>
      <xdr:row>12</xdr:row>
      <xdr:rowOff>59524</xdr:rowOff>
    </xdr:from>
    <xdr:to>
      <xdr:col>5</xdr:col>
      <xdr:colOff>376575</xdr:colOff>
      <xdr:row>17</xdr:row>
      <xdr:rowOff>187024</xdr:rowOff>
    </xdr:to>
    <xdr:sp macro="" textlink="">
      <xdr:nvSpPr>
        <xdr:cNvPr id="22" name="Rectangle 21">
          <a:extLst>
            <a:ext uri="{FF2B5EF4-FFF2-40B4-BE49-F238E27FC236}">
              <a16:creationId xmlns:a16="http://schemas.microsoft.com/office/drawing/2014/main" id="{C469F94B-9977-479F-87B8-24F65141E477}"/>
            </a:ext>
          </a:extLst>
        </xdr:cNvPr>
        <xdr:cNvSpPr/>
      </xdr:nvSpPr>
      <xdr:spPr>
        <a:xfrm>
          <a:off x="1540669" y="2345524"/>
          <a:ext cx="1872000" cy="1080000"/>
        </a:xfrm>
        <a:prstGeom prst="rect">
          <a:avLst/>
        </a:prstGeom>
        <a:solidFill>
          <a:schemeClr val="bg1"/>
        </a:solidFill>
        <a:ln>
          <a:solidFill>
            <a:schemeClr val="bg1"/>
          </a:solidFill>
        </a:ln>
        <a:effectLst>
          <a:glow rad="127000">
            <a:srgbClr val="843C0C"/>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406281</xdr:colOff>
      <xdr:row>4</xdr:row>
      <xdr:rowOff>147214</xdr:rowOff>
    </xdr:from>
    <xdr:to>
      <xdr:col>25</xdr:col>
      <xdr:colOff>228531</xdr:colOff>
      <xdr:row>18</xdr:row>
      <xdr:rowOff>214</xdr:rowOff>
    </xdr:to>
    <xdr:sp macro="" textlink="">
      <xdr:nvSpPr>
        <xdr:cNvPr id="26" name="Rectangle 25">
          <a:extLst>
            <a:ext uri="{FF2B5EF4-FFF2-40B4-BE49-F238E27FC236}">
              <a16:creationId xmlns:a16="http://schemas.microsoft.com/office/drawing/2014/main" id="{BE6332CD-A309-40E4-8023-7A54CEDADFBE}"/>
            </a:ext>
          </a:extLst>
        </xdr:cNvPr>
        <xdr:cNvSpPr/>
      </xdr:nvSpPr>
      <xdr:spPr>
        <a:xfrm>
          <a:off x="10729000" y="909214"/>
          <a:ext cx="4680000" cy="2520000"/>
        </a:xfrm>
        <a:prstGeom prst="rect">
          <a:avLst/>
        </a:prstGeom>
        <a:solidFill>
          <a:schemeClr val="bg1"/>
        </a:solidFill>
        <a:ln>
          <a:solidFill>
            <a:schemeClr val="bg1"/>
          </a:solidFill>
        </a:ln>
        <a:effectLst>
          <a:glow rad="127000">
            <a:srgbClr val="843C0C"/>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415500</xdr:colOff>
      <xdr:row>19</xdr:row>
      <xdr:rowOff>30954</xdr:rowOff>
    </xdr:from>
    <xdr:to>
      <xdr:col>25</xdr:col>
      <xdr:colOff>237750</xdr:colOff>
      <xdr:row>34</xdr:row>
      <xdr:rowOff>161924</xdr:rowOff>
    </xdr:to>
    <xdr:sp macro="" textlink="">
      <xdr:nvSpPr>
        <xdr:cNvPr id="27" name="Rectangle 26">
          <a:extLst>
            <a:ext uri="{FF2B5EF4-FFF2-40B4-BE49-F238E27FC236}">
              <a16:creationId xmlns:a16="http://schemas.microsoft.com/office/drawing/2014/main" id="{CE693A7D-44C9-4063-9727-69F4035B9646}"/>
            </a:ext>
          </a:extLst>
        </xdr:cNvPr>
        <xdr:cNvSpPr/>
      </xdr:nvSpPr>
      <xdr:spPr>
        <a:xfrm>
          <a:off x="10738219" y="3650454"/>
          <a:ext cx="4680000" cy="2988470"/>
        </a:xfrm>
        <a:prstGeom prst="rect">
          <a:avLst/>
        </a:prstGeom>
        <a:solidFill>
          <a:schemeClr val="bg1"/>
        </a:solidFill>
        <a:ln>
          <a:solidFill>
            <a:schemeClr val="bg1"/>
          </a:solidFill>
        </a:ln>
        <a:effectLst>
          <a:glow rad="127000">
            <a:srgbClr val="843C0C"/>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278609</xdr:colOff>
      <xdr:row>19</xdr:row>
      <xdr:rowOff>2115</xdr:rowOff>
    </xdr:from>
    <xdr:to>
      <xdr:col>9</xdr:col>
      <xdr:colOff>60078</xdr:colOff>
      <xdr:row>34</xdr:row>
      <xdr:rowOff>132615</xdr:rowOff>
    </xdr:to>
    <xdr:sp macro="" textlink="">
      <xdr:nvSpPr>
        <xdr:cNvPr id="28" name="Rectangle 27">
          <a:extLst>
            <a:ext uri="{FF2B5EF4-FFF2-40B4-BE49-F238E27FC236}">
              <a16:creationId xmlns:a16="http://schemas.microsoft.com/office/drawing/2014/main" id="{881C1CE3-35C4-4D56-941D-8A9A56A3DFB3}"/>
            </a:ext>
          </a:extLst>
        </xdr:cNvPr>
        <xdr:cNvSpPr/>
      </xdr:nvSpPr>
      <xdr:spPr>
        <a:xfrm>
          <a:off x="1493047" y="3621615"/>
          <a:ext cx="4032000" cy="2988000"/>
        </a:xfrm>
        <a:prstGeom prst="rect">
          <a:avLst/>
        </a:prstGeom>
        <a:solidFill>
          <a:schemeClr val="bg1"/>
        </a:solidFill>
        <a:ln>
          <a:solidFill>
            <a:schemeClr val="bg1"/>
          </a:solidFill>
        </a:ln>
        <a:effectLst>
          <a:glow rad="127000">
            <a:srgbClr val="843C0C"/>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308375</xdr:colOff>
      <xdr:row>19</xdr:row>
      <xdr:rowOff>30938</xdr:rowOff>
    </xdr:from>
    <xdr:to>
      <xdr:col>17</xdr:col>
      <xdr:colOff>130625</xdr:colOff>
      <xdr:row>34</xdr:row>
      <xdr:rowOff>161438</xdr:rowOff>
    </xdr:to>
    <xdr:sp macro="" textlink="">
      <xdr:nvSpPr>
        <xdr:cNvPr id="29" name="Rectangle 28">
          <a:extLst>
            <a:ext uri="{FF2B5EF4-FFF2-40B4-BE49-F238E27FC236}">
              <a16:creationId xmlns:a16="http://schemas.microsoft.com/office/drawing/2014/main" id="{00F0303F-1577-4AB1-AEC3-243B831EBAEF}"/>
            </a:ext>
          </a:extLst>
        </xdr:cNvPr>
        <xdr:cNvSpPr/>
      </xdr:nvSpPr>
      <xdr:spPr>
        <a:xfrm>
          <a:off x="5773344" y="3650438"/>
          <a:ext cx="4680000" cy="2988000"/>
        </a:xfrm>
        <a:prstGeom prst="rect">
          <a:avLst/>
        </a:prstGeom>
        <a:solidFill>
          <a:schemeClr val="bg1"/>
        </a:solidFill>
        <a:ln>
          <a:solidFill>
            <a:schemeClr val="bg1"/>
          </a:solidFill>
        </a:ln>
        <a:effectLst>
          <a:glow rad="127000">
            <a:srgbClr val="843C0C"/>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214312</xdr:colOff>
      <xdr:row>0</xdr:row>
      <xdr:rowOff>84667</xdr:rowOff>
    </xdr:from>
    <xdr:to>
      <xdr:col>1</xdr:col>
      <xdr:colOff>583406</xdr:colOff>
      <xdr:row>11</xdr:row>
      <xdr:rowOff>31750</xdr:rowOff>
    </xdr:to>
    <mc:AlternateContent xmlns:mc="http://schemas.openxmlformats.org/markup-compatibility/2006" xmlns:a14="http://schemas.microsoft.com/office/drawing/2010/main">
      <mc:Choice Requires="a14">
        <xdr:graphicFrame macro="">
          <xdr:nvGraphicFramePr>
            <xdr:cNvPr id="31" name="City">
              <a:extLst>
                <a:ext uri="{FF2B5EF4-FFF2-40B4-BE49-F238E27FC236}">
                  <a16:creationId xmlns:a16="http://schemas.microsoft.com/office/drawing/2014/main" id="{6867FACC-C418-43D1-836F-2B1D3833C68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8167" y="84667"/>
              <a:ext cx="1076854" cy="204258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11</xdr:row>
      <xdr:rowOff>63503</xdr:rowOff>
    </xdr:from>
    <xdr:to>
      <xdr:col>1</xdr:col>
      <xdr:colOff>571500</xdr:colOff>
      <xdr:row>22</xdr:row>
      <xdr:rowOff>148169</xdr:rowOff>
    </xdr:to>
    <mc:AlternateContent xmlns:mc="http://schemas.openxmlformats.org/markup-compatibility/2006" xmlns:a14="http://schemas.microsoft.com/office/drawing/2010/main">
      <mc:Choice Requires="a14">
        <xdr:graphicFrame macro="">
          <xdr:nvGraphicFramePr>
            <xdr:cNvPr id="32" name="Product_Category">
              <a:extLst>
                <a:ext uri="{FF2B5EF4-FFF2-40B4-BE49-F238E27FC236}">
                  <a16:creationId xmlns:a16="http://schemas.microsoft.com/office/drawing/2014/main" id="{30633613-345E-4579-9FFD-BACB8E3A741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44197" y="2159003"/>
              <a:ext cx="1044000" cy="218016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178594</xdr:colOff>
      <xdr:row>23</xdr:row>
      <xdr:rowOff>9262</xdr:rowOff>
    </xdr:from>
    <xdr:to>
      <xdr:col>1</xdr:col>
      <xdr:colOff>583406</xdr:colOff>
      <xdr:row>34</xdr:row>
      <xdr:rowOff>83344</xdr:rowOff>
    </xdr:to>
    <mc:AlternateContent xmlns:mc="http://schemas.openxmlformats.org/markup-compatibility/2006" xmlns:a14="http://schemas.microsoft.com/office/drawing/2010/main">
      <mc:Choice Requires="a14">
        <xdr:graphicFrame macro="">
          <xdr:nvGraphicFramePr>
            <xdr:cNvPr id="33" name="Payment_Method">
              <a:extLst>
                <a:ext uri="{FF2B5EF4-FFF2-40B4-BE49-F238E27FC236}">
                  <a16:creationId xmlns:a16="http://schemas.microsoft.com/office/drawing/2014/main" id="{67A60712-31CF-493D-95E0-480F84F7C41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61393" y="4390762"/>
              <a:ext cx="1044000" cy="11747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516882</xdr:colOff>
      <xdr:row>2</xdr:row>
      <xdr:rowOff>0</xdr:rowOff>
    </xdr:from>
    <xdr:ext cx="1245662" cy="342786"/>
    <xdr:sp macro="" textlink="'Pivot Table'!B20">
      <xdr:nvSpPr>
        <xdr:cNvPr id="3" name="TextBox 2">
          <a:extLst>
            <a:ext uri="{FF2B5EF4-FFF2-40B4-BE49-F238E27FC236}">
              <a16:creationId xmlns:a16="http://schemas.microsoft.com/office/drawing/2014/main" id="{99180C34-D1E5-40F2-A640-2061220C04DB}"/>
            </a:ext>
          </a:extLst>
        </xdr:cNvPr>
        <xdr:cNvSpPr txBox="1"/>
      </xdr:nvSpPr>
      <xdr:spPr>
        <a:xfrm>
          <a:off x="2945757" y="381000"/>
          <a:ext cx="124566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600" b="1">
              <a:solidFill>
                <a:srgbClr val="843C0C"/>
              </a:solidFill>
            </a:rPr>
            <a:t>Total</a:t>
          </a:r>
          <a:r>
            <a:rPr lang="en-GB" sz="1600" b="1" baseline="0">
              <a:solidFill>
                <a:srgbClr val="843C0C"/>
              </a:solidFill>
            </a:rPr>
            <a:t> Orders</a:t>
          </a:r>
          <a:endParaRPr lang="en-NG" sz="1600" b="1">
            <a:solidFill>
              <a:srgbClr val="843C0C"/>
            </a:solidFill>
          </a:endParaRPr>
        </a:p>
      </xdr:txBody>
    </xdr:sp>
    <xdr:clientData/>
  </xdr:oneCellAnchor>
  <xdr:oneCellAnchor>
    <xdr:from>
      <xdr:col>5</xdr:col>
      <xdr:colOff>177731</xdr:colOff>
      <xdr:row>0</xdr:row>
      <xdr:rowOff>0</xdr:rowOff>
    </xdr:from>
    <xdr:ext cx="652679" cy="468013"/>
    <xdr:sp macro="" textlink="'Pivot Table'!B21">
      <xdr:nvSpPr>
        <xdr:cNvPr id="4" name="TextBox 3">
          <a:extLst>
            <a:ext uri="{FF2B5EF4-FFF2-40B4-BE49-F238E27FC236}">
              <a16:creationId xmlns:a16="http://schemas.microsoft.com/office/drawing/2014/main" id="{3CACEFB5-5B33-48C1-94B9-6FFE4A71470E}"/>
            </a:ext>
          </a:extLst>
        </xdr:cNvPr>
        <xdr:cNvSpPr txBox="1"/>
      </xdr:nvSpPr>
      <xdr:spPr>
        <a:xfrm>
          <a:off x="3213825" y="0"/>
          <a:ext cx="6526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C49AF688-779C-4212-9997-DFCE82AE1D86}" type="TxLink">
            <a:rPr lang="en-US" sz="2400" b="1" i="0" u="none" strike="noStrike">
              <a:solidFill>
                <a:srgbClr val="843C0C"/>
              </a:solidFill>
              <a:latin typeface="Calibri"/>
              <a:cs typeface="Calibri"/>
            </a:rPr>
            <a:pPr algn="ctr"/>
            <a:t>500</a:t>
          </a:fld>
          <a:endParaRPr lang="en-NG" sz="3600" b="1">
            <a:solidFill>
              <a:srgbClr val="843C0C"/>
            </a:solidFill>
          </a:endParaRPr>
        </a:p>
      </xdr:txBody>
    </xdr:sp>
    <xdr:clientData/>
  </xdr:oneCellAnchor>
  <xdr:oneCellAnchor>
    <xdr:from>
      <xdr:col>3</xdr:col>
      <xdr:colOff>51180</xdr:colOff>
      <xdr:row>14</xdr:row>
      <xdr:rowOff>178585</xdr:rowOff>
    </xdr:from>
    <xdr:ext cx="1178977" cy="280205"/>
    <xdr:sp macro="" textlink="'Pivot Table'!B21">
      <xdr:nvSpPr>
        <xdr:cNvPr id="5" name="TextBox 4">
          <a:extLst>
            <a:ext uri="{FF2B5EF4-FFF2-40B4-BE49-F238E27FC236}">
              <a16:creationId xmlns:a16="http://schemas.microsoft.com/office/drawing/2014/main" id="{1CF230C2-7DB4-4652-9531-16F854421514}"/>
            </a:ext>
          </a:extLst>
        </xdr:cNvPr>
        <xdr:cNvSpPr txBox="1"/>
      </xdr:nvSpPr>
      <xdr:spPr>
        <a:xfrm>
          <a:off x="1872836" y="2845585"/>
          <a:ext cx="117897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200" b="1">
              <a:solidFill>
                <a:srgbClr val="843C0C"/>
              </a:solidFill>
            </a:rPr>
            <a:t>Average Orders</a:t>
          </a:r>
          <a:endParaRPr lang="en-NG" sz="1200" b="1">
            <a:solidFill>
              <a:srgbClr val="843C0C"/>
            </a:solidFill>
          </a:endParaRPr>
        </a:p>
      </xdr:txBody>
    </xdr:sp>
    <xdr:clientData/>
  </xdr:oneCellAnchor>
  <xdr:oneCellAnchor>
    <xdr:from>
      <xdr:col>3</xdr:col>
      <xdr:colOff>33691</xdr:colOff>
      <xdr:row>12</xdr:row>
      <xdr:rowOff>83336</xdr:rowOff>
    </xdr:from>
    <xdr:ext cx="1284775" cy="468013"/>
    <xdr:sp macro="" textlink="'Pivot Table'!B22">
      <xdr:nvSpPr>
        <xdr:cNvPr id="6" name="TextBox 5">
          <a:extLst>
            <a:ext uri="{FF2B5EF4-FFF2-40B4-BE49-F238E27FC236}">
              <a16:creationId xmlns:a16="http://schemas.microsoft.com/office/drawing/2014/main" id="{9E2511BB-C850-4E6D-8621-DB695BE3941B}"/>
            </a:ext>
          </a:extLst>
        </xdr:cNvPr>
        <xdr:cNvSpPr txBox="1"/>
      </xdr:nvSpPr>
      <xdr:spPr>
        <a:xfrm>
          <a:off x="1855347" y="2369336"/>
          <a:ext cx="128477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BD4080CB-C417-4BAF-9BF7-734509FFEC96}" type="TxLink">
            <a:rPr lang="en-US" sz="2400" b="1" i="0" u="none" strike="noStrike">
              <a:solidFill>
                <a:srgbClr val="843C0C"/>
              </a:solidFill>
              <a:latin typeface="Calibri"/>
              <a:cs typeface="Calibri"/>
            </a:rPr>
            <a:pPr algn="ctr"/>
            <a:t>₦302.5K</a:t>
          </a:fld>
          <a:endParaRPr lang="en-NG" sz="4800" b="1">
            <a:solidFill>
              <a:srgbClr val="843C0C"/>
            </a:solidFill>
          </a:endParaRPr>
        </a:p>
      </xdr:txBody>
    </xdr:sp>
    <xdr:clientData/>
  </xdr:oneCellAnchor>
  <xdr:oneCellAnchor>
    <xdr:from>
      <xdr:col>6</xdr:col>
      <xdr:colOff>396635</xdr:colOff>
      <xdr:row>14</xdr:row>
      <xdr:rowOff>148046</xdr:rowOff>
    </xdr:from>
    <xdr:ext cx="1107226" cy="280205"/>
    <xdr:sp macro="" textlink="'Pivot Table'!B21">
      <xdr:nvSpPr>
        <xdr:cNvPr id="7" name="TextBox 6">
          <a:extLst>
            <a:ext uri="{FF2B5EF4-FFF2-40B4-BE49-F238E27FC236}">
              <a16:creationId xmlns:a16="http://schemas.microsoft.com/office/drawing/2014/main" id="{7241CBEC-4921-40FA-8A03-32D717639113}"/>
            </a:ext>
          </a:extLst>
        </xdr:cNvPr>
        <xdr:cNvSpPr txBox="1"/>
      </xdr:nvSpPr>
      <xdr:spPr>
        <a:xfrm>
          <a:off x="4039948" y="2815046"/>
          <a:ext cx="110722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200" b="1">
              <a:solidFill>
                <a:srgbClr val="843C0C"/>
              </a:solidFill>
            </a:rPr>
            <a:t>Total</a:t>
          </a:r>
          <a:r>
            <a:rPr lang="en-GB" sz="1200" b="1" baseline="0">
              <a:solidFill>
                <a:srgbClr val="843C0C"/>
              </a:solidFill>
            </a:rPr>
            <a:t> Discount</a:t>
          </a:r>
          <a:endParaRPr lang="en-NG" sz="1200" b="1">
            <a:solidFill>
              <a:srgbClr val="843C0C"/>
            </a:solidFill>
          </a:endParaRPr>
        </a:p>
      </xdr:txBody>
    </xdr:sp>
    <xdr:clientData/>
  </xdr:oneCellAnchor>
  <xdr:oneCellAnchor>
    <xdr:from>
      <xdr:col>6</xdr:col>
      <xdr:colOff>299807</xdr:colOff>
      <xdr:row>12</xdr:row>
      <xdr:rowOff>64705</xdr:rowOff>
    </xdr:from>
    <xdr:ext cx="1229439" cy="468013"/>
    <xdr:sp macro="" textlink="'Pivot Table'!B23">
      <xdr:nvSpPr>
        <xdr:cNvPr id="8" name="TextBox 7">
          <a:extLst>
            <a:ext uri="{FF2B5EF4-FFF2-40B4-BE49-F238E27FC236}">
              <a16:creationId xmlns:a16="http://schemas.microsoft.com/office/drawing/2014/main" id="{01200FC0-1ED7-49A7-B46E-85A7E0179465}"/>
            </a:ext>
          </a:extLst>
        </xdr:cNvPr>
        <xdr:cNvSpPr txBox="1"/>
      </xdr:nvSpPr>
      <xdr:spPr>
        <a:xfrm>
          <a:off x="3943120" y="2350705"/>
          <a:ext cx="122943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E4870E3A-7365-46E3-811D-45A8EC4A4FE1}" type="TxLink">
            <a:rPr lang="en-US" sz="2400" b="1" i="0" u="none" strike="noStrike">
              <a:solidFill>
                <a:srgbClr val="843C0C"/>
              </a:solidFill>
              <a:latin typeface="Calibri"/>
              <a:cs typeface="Calibri"/>
            </a:rPr>
            <a:pPr algn="ctr"/>
            <a:t>₦15.7M</a:t>
          </a:fld>
          <a:endParaRPr lang="en-NG" sz="4800" b="1">
            <a:solidFill>
              <a:srgbClr val="843C0C"/>
            </a:solidFill>
          </a:endParaRPr>
        </a:p>
      </xdr:txBody>
    </xdr:sp>
    <xdr:clientData/>
  </xdr:oneCellAnchor>
  <xdr:twoCellAnchor>
    <xdr:from>
      <xdr:col>2</xdr:col>
      <xdr:colOff>246061</xdr:colOff>
      <xdr:row>0</xdr:row>
      <xdr:rowOff>59531</xdr:rowOff>
    </xdr:from>
    <xdr:to>
      <xdr:col>4</xdr:col>
      <xdr:colOff>255624</xdr:colOff>
      <xdr:row>4</xdr:row>
      <xdr:rowOff>17531</xdr:rowOff>
    </xdr:to>
    <xdr:sp macro="" textlink="">
      <xdr:nvSpPr>
        <xdr:cNvPr id="9" name="Rectangle 8">
          <a:extLst>
            <a:ext uri="{FF2B5EF4-FFF2-40B4-BE49-F238E27FC236}">
              <a16:creationId xmlns:a16="http://schemas.microsoft.com/office/drawing/2014/main" id="{0AB761B2-E5FF-413A-B084-55176400B614}"/>
            </a:ext>
          </a:extLst>
        </xdr:cNvPr>
        <xdr:cNvSpPr/>
      </xdr:nvSpPr>
      <xdr:spPr>
        <a:xfrm>
          <a:off x="1452561" y="59531"/>
          <a:ext cx="1216063" cy="720000"/>
        </a:xfrm>
        <a:prstGeom prst="rect">
          <a:avLst/>
        </a:prstGeom>
        <a:solidFill>
          <a:schemeClr val="bg1"/>
        </a:solidFill>
        <a:ln>
          <a:solidFill>
            <a:schemeClr val="bg1"/>
          </a:solidFill>
        </a:ln>
        <a:effectLst>
          <a:glow rad="127000">
            <a:srgbClr val="843C0C"/>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20</xdr:col>
      <xdr:colOff>404814</xdr:colOff>
      <xdr:row>0</xdr:row>
      <xdr:rowOff>47626</xdr:rowOff>
    </xdr:from>
    <xdr:to>
      <xdr:col>22</xdr:col>
      <xdr:colOff>414376</xdr:colOff>
      <xdr:row>4</xdr:row>
      <xdr:rowOff>5626</xdr:rowOff>
    </xdr:to>
    <xdr:sp macro="" textlink="">
      <xdr:nvSpPr>
        <xdr:cNvPr id="10" name="Rectangle 9">
          <a:extLst>
            <a:ext uri="{FF2B5EF4-FFF2-40B4-BE49-F238E27FC236}">
              <a16:creationId xmlns:a16="http://schemas.microsoft.com/office/drawing/2014/main" id="{A7C1732B-92EB-4F93-B608-F20708E502C8}"/>
            </a:ext>
          </a:extLst>
        </xdr:cNvPr>
        <xdr:cNvSpPr/>
      </xdr:nvSpPr>
      <xdr:spPr>
        <a:xfrm>
          <a:off x="12549189" y="47626"/>
          <a:ext cx="1224000" cy="720000"/>
        </a:xfrm>
        <a:prstGeom prst="rect">
          <a:avLst/>
        </a:prstGeom>
        <a:solidFill>
          <a:schemeClr val="bg1"/>
        </a:solidFill>
        <a:ln>
          <a:solidFill>
            <a:schemeClr val="bg1"/>
          </a:solidFill>
        </a:ln>
        <a:effectLst>
          <a:glow rad="127000">
            <a:srgbClr val="843C0C"/>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333374</xdr:colOff>
      <xdr:row>5</xdr:row>
      <xdr:rowOff>525</xdr:rowOff>
    </xdr:from>
    <xdr:to>
      <xdr:col>5</xdr:col>
      <xdr:colOff>383718</xdr:colOff>
      <xdr:row>10</xdr:row>
      <xdr:rowOff>128025</xdr:rowOff>
    </xdr:to>
    <xdr:grpSp>
      <xdr:nvGrpSpPr>
        <xdr:cNvPr id="51" name="Group 50">
          <a:extLst>
            <a:ext uri="{FF2B5EF4-FFF2-40B4-BE49-F238E27FC236}">
              <a16:creationId xmlns:a16="http://schemas.microsoft.com/office/drawing/2014/main" id="{4C8E751C-B03F-F48B-386C-A16A9F2A77D8}"/>
            </a:ext>
          </a:extLst>
        </xdr:cNvPr>
        <xdr:cNvGrpSpPr/>
      </xdr:nvGrpSpPr>
      <xdr:grpSpPr>
        <a:xfrm>
          <a:off x="1547812" y="953025"/>
          <a:ext cx="1872000" cy="1080000"/>
          <a:chOff x="1547812" y="1000649"/>
          <a:chExt cx="1872000" cy="1080000"/>
        </a:xfrm>
        <a:effectLst>
          <a:glow rad="127000">
            <a:srgbClr val="843C0C"/>
          </a:glow>
        </a:effectLst>
      </xdr:grpSpPr>
      <xdr:sp macro="" textlink="">
        <xdr:nvSpPr>
          <xdr:cNvPr id="19" name="Rectangle 18">
            <a:extLst>
              <a:ext uri="{FF2B5EF4-FFF2-40B4-BE49-F238E27FC236}">
                <a16:creationId xmlns:a16="http://schemas.microsoft.com/office/drawing/2014/main" id="{74543DD7-9037-4932-A47A-DA744B0C157F}"/>
              </a:ext>
            </a:extLst>
          </xdr:cNvPr>
          <xdr:cNvSpPr/>
        </xdr:nvSpPr>
        <xdr:spPr>
          <a:xfrm>
            <a:off x="1547812" y="1000649"/>
            <a:ext cx="1872000" cy="1080000"/>
          </a:xfrm>
          <a:prstGeom prst="rect">
            <a:avLst/>
          </a:prstGeom>
          <a:solidFill>
            <a:schemeClr val="bg1"/>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2000" b="1">
              <a:solidFill>
                <a:sysClr val="windowText" lastClr="000000"/>
              </a:solidFill>
            </a:endParaRPr>
          </a:p>
        </xdr:txBody>
      </xdr:sp>
      <xdr:sp macro="" textlink="'Pivot Table'!B20">
        <xdr:nvSpPr>
          <xdr:cNvPr id="2" name="TextBox 1">
            <a:extLst>
              <a:ext uri="{FF2B5EF4-FFF2-40B4-BE49-F238E27FC236}">
                <a16:creationId xmlns:a16="http://schemas.microsoft.com/office/drawing/2014/main" id="{554AEACB-9FA4-AB70-B04F-A941A0F208AE}"/>
              </a:ext>
            </a:extLst>
          </xdr:cNvPr>
          <xdr:cNvSpPr txBox="1"/>
        </xdr:nvSpPr>
        <xdr:spPr>
          <a:xfrm>
            <a:off x="1759059" y="1083468"/>
            <a:ext cx="138544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26E3E03A-5BEB-4B72-A1A1-796CD1E60A45}" type="TxLink">
              <a:rPr lang="en-US" sz="2400" b="1" i="0" u="none" strike="noStrike">
                <a:solidFill>
                  <a:srgbClr val="843C0C"/>
                </a:solidFill>
                <a:latin typeface="Calibri"/>
                <a:cs typeface="Calibri"/>
              </a:rPr>
              <a:pPr algn="ctr"/>
              <a:t>₦151.3M</a:t>
            </a:fld>
            <a:endParaRPr lang="en-NG" sz="2400" b="1">
              <a:solidFill>
                <a:srgbClr val="843C0C"/>
              </a:solidFill>
            </a:endParaRPr>
          </a:p>
        </xdr:txBody>
      </xdr:sp>
      <xdr:sp macro="" textlink="'Pivot Table'!B20">
        <xdr:nvSpPr>
          <xdr:cNvPr id="12" name="TextBox 11">
            <a:extLst>
              <a:ext uri="{FF2B5EF4-FFF2-40B4-BE49-F238E27FC236}">
                <a16:creationId xmlns:a16="http://schemas.microsoft.com/office/drawing/2014/main" id="{727B362A-A737-4D0E-957A-ACFD3DD2527E}"/>
              </a:ext>
            </a:extLst>
          </xdr:cNvPr>
          <xdr:cNvSpPr txBox="1"/>
        </xdr:nvSpPr>
        <xdr:spPr>
          <a:xfrm>
            <a:off x="1881343" y="1524524"/>
            <a:ext cx="110248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200" b="1">
                <a:solidFill>
                  <a:srgbClr val="843C0C"/>
                </a:solidFill>
              </a:rPr>
              <a:t>Total</a:t>
            </a:r>
            <a:r>
              <a:rPr lang="en-GB" sz="1200" b="1" baseline="0">
                <a:solidFill>
                  <a:srgbClr val="843C0C"/>
                </a:solidFill>
              </a:rPr>
              <a:t> Revenue</a:t>
            </a:r>
            <a:endParaRPr lang="en-NG" sz="1200" b="1">
              <a:solidFill>
                <a:srgbClr val="843C0C"/>
              </a:solidFill>
            </a:endParaRPr>
          </a:p>
        </xdr:txBody>
      </xdr:sp>
    </xdr:grpSp>
    <xdr:clientData/>
  </xdr:twoCellAnchor>
  <xdr:twoCellAnchor editAs="oneCell">
    <xdr:from>
      <xdr:col>2</xdr:col>
      <xdr:colOff>202407</xdr:colOff>
      <xdr:row>0</xdr:row>
      <xdr:rowOff>83344</xdr:rowOff>
    </xdr:from>
    <xdr:to>
      <xdr:col>4</xdr:col>
      <xdr:colOff>154782</xdr:colOff>
      <xdr:row>3</xdr:row>
      <xdr:rowOff>119063</xdr:rowOff>
    </xdr:to>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816E6678-87FF-4D69-BDC1-015A4734B6B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16845" y="83344"/>
              <a:ext cx="1166812" cy="60721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560569</xdr:colOff>
      <xdr:row>0</xdr:row>
      <xdr:rowOff>98612</xdr:rowOff>
    </xdr:from>
    <xdr:to>
      <xdr:col>25</xdr:col>
      <xdr:colOff>235604</xdr:colOff>
      <xdr:row>3</xdr:row>
      <xdr:rowOff>142876</xdr:rowOff>
    </xdr:to>
    <mc:AlternateContent xmlns:mc="http://schemas.openxmlformats.org/markup-compatibility/2006" xmlns:a14="http://schemas.microsoft.com/office/drawing/2010/main">
      <mc:Choice Requires="a14">
        <xdr:graphicFrame macro="">
          <xdr:nvGraphicFramePr>
            <xdr:cNvPr id="30" name="Salesperson">
              <a:extLst>
                <a:ext uri="{FF2B5EF4-FFF2-40B4-BE49-F238E27FC236}">
                  <a16:creationId xmlns:a16="http://schemas.microsoft.com/office/drawing/2014/main" id="{5A8AAEE3-1ADB-432B-8B26-FECCEC9CBB3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3919382" y="98612"/>
              <a:ext cx="1496691" cy="61576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9523</xdr:colOff>
      <xdr:row>5</xdr:row>
      <xdr:rowOff>9525</xdr:rowOff>
    </xdr:from>
    <xdr:to>
      <xdr:col>9</xdr:col>
      <xdr:colOff>95867</xdr:colOff>
      <xdr:row>10</xdr:row>
      <xdr:rowOff>137026</xdr:rowOff>
    </xdr:to>
    <xdr:grpSp>
      <xdr:nvGrpSpPr>
        <xdr:cNvPr id="50" name="Group 49">
          <a:extLst>
            <a:ext uri="{FF2B5EF4-FFF2-40B4-BE49-F238E27FC236}">
              <a16:creationId xmlns:a16="http://schemas.microsoft.com/office/drawing/2014/main" id="{3DD52329-61D9-C9C5-A4E5-41FB9D2E4134}"/>
            </a:ext>
          </a:extLst>
        </xdr:cNvPr>
        <xdr:cNvGrpSpPr/>
      </xdr:nvGrpSpPr>
      <xdr:grpSpPr>
        <a:xfrm>
          <a:off x="3652836" y="962025"/>
          <a:ext cx="1908000" cy="1080001"/>
          <a:chOff x="3652836" y="1009649"/>
          <a:chExt cx="1908000" cy="1080001"/>
        </a:xfrm>
        <a:effectLst>
          <a:glow rad="127000">
            <a:srgbClr val="843C0C"/>
          </a:glow>
        </a:effectLst>
      </xdr:grpSpPr>
      <xdr:sp macro="" textlink="">
        <xdr:nvSpPr>
          <xdr:cNvPr id="21" name="Rectangle 20">
            <a:extLst>
              <a:ext uri="{FF2B5EF4-FFF2-40B4-BE49-F238E27FC236}">
                <a16:creationId xmlns:a16="http://schemas.microsoft.com/office/drawing/2014/main" id="{4266FACC-962D-459A-AAAC-E86438533542}"/>
              </a:ext>
            </a:extLst>
          </xdr:cNvPr>
          <xdr:cNvSpPr/>
        </xdr:nvSpPr>
        <xdr:spPr>
          <a:xfrm>
            <a:off x="3652836" y="1009650"/>
            <a:ext cx="1908000" cy="1080000"/>
          </a:xfrm>
          <a:prstGeom prst="rect">
            <a:avLst/>
          </a:prstGeom>
          <a:solidFill>
            <a:schemeClr val="bg1"/>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Pivot Table'!B20">
        <xdr:nvSpPr>
          <xdr:cNvPr id="34" name="TextBox 33">
            <a:extLst>
              <a:ext uri="{FF2B5EF4-FFF2-40B4-BE49-F238E27FC236}">
                <a16:creationId xmlns:a16="http://schemas.microsoft.com/office/drawing/2014/main" id="{82AB6EB1-C795-4D55-8819-8E98C648F7A4}"/>
              </a:ext>
            </a:extLst>
          </xdr:cNvPr>
          <xdr:cNvSpPr txBox="1"/>
        </xdr:nvSpPr>
        <xdr:spPr>
          <a:xfrm>
            <a:off x="3881166" y="1664495"/>
            <a:ext cx="13605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200" b="1">
                <a:solidFill>
                  <a:srgbClr val="843C0C"/>
                </a:solidFill>
              </a:rPr>
              <a:t>(Best</a:t>
            </a:r>
            <a:r>
              <a:rPr lang="en-GB" sz="1200" b="1" baseline="0">
                <a:solidFill>
                  <a:srgbClr val="843C0C"/>
                </a:solidFill>
              </a:rPr>
              <a:t> Salesperson)</a:t>
            </a:r>
            <a:endParaRPr lang="en-NG" sz="1200" b="1">
              <a:solidFill>
                <a:srgbClr val="843C0C"/>
              </a:solidFill>
            </a:endParaRPr>
          </a:p>
        </xdr:txBody>
      </xdr:sp>
      <xdr:sp macro="" textlink="'Pivot Table'!B20">
        <xdr:nvSpPr>
          <xdr:cNvPr id="35" name="TextBox 34">
            <a:extLst>
              <a:ext uri="{FF2B5EF4-FFF2-40B4-BE49-F238E27FC236}">
                <a16:creationId xmlns:a16="http://schemas.microsoft.com/office/drawing/2014/main" id="{8944E7CF-E2A6-485D-96A2-1E75CC745338}"/>
              </a:ext>
            </a:extLst>
          </xdr:cNvPr>
          <xdr:cNvSpPr txBox="1"/>
        </xdr:nvSpPr>
        <xdr:spPr>
          <a:xfrm>
            <a:off x="3706518" y="1009649"/>
            <a:ext cx="1687013"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2000" b="1">
                <a:solidFill>
                  <a:srgbClr val="843C0C"/>
                </a:solidFill>
              </a:rPr>
              <a:t>Staff-10</a:t>
            </a:r>
            <a:r>
              <a:rPr lang="en-GB" sz="2000" b="1" baseline="0">
                <a:solidFill>
                  <a:srgbClr val="843C0C"/>
                </a:solidFill>
              </a:rPr>
              <a:t> Amaka U.</a:t>
            </a:r>
            <a:endParaRPr lang="en-NG" sz="2000" b="1">
              <a:solidFill>
                <a:srgbClr val="843C0C"/>
              </a:solidFill>
            </a:endParaRPr>
          </a:p>
        </xdr:txBody>
      </xdr:sp>
    </xdr:grpSp>
    <xdr:clientData/>
  </xdr:twoCellAnchor>
  <xdr:oneCellAnchor>
    <xdr:from>
      <xdr:col>20</xdr:col>
      <xdr:colOff>495907</xdr:colOff>
      <xdr:row>2</xdr:row>
      <xdr:rowOff>0</xdr:rowOff>
    </xdr:from>
    <xdr:ext cx="1096006" cy="280205"/>
    <xdr:sp macro="" textlink="'Pivot Table'!B20">
      <xdr:nvSpPr>
        <xdr:cNvPr id="36" name="TextBox 35">
          <a:extLst>
            <a:ext uri="{FF2B5EF4-FFF2-40B4-BE49-F238E27FC236}">
              <a16:creationId xmlns:a16="http://schemas.microsoft.com/office/drawing/2014/main" id="{421C9933-6E41-469B-B280-3346D59074DE}"/>
            </a:ext>
          </a:extLst>
        </xdr:cNvPr>
        <xdr:cNvSpPr txBox="1"/>
      </xdr:nvSpPr>
      <xdr:spPr>
        <a:xfrm>
          <a:off x="12640282" y="381000"/>
          <a:ext cx="109600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200" b="1">
              <a:solidFill>
                <a:srgbClr val="843C0C"/>
              </a:solidFill>
            </a:rPr>
            <a:t>(Best</a:t>
          </a:r>
          <a:r>
            <a:rPr lang="en-GB" sz="1200" b="1" baseline="0">
              <a:solidFill>
                <a:srgbClr val="843C0C"/>
              </a:solidFill>
            </a:rPr>
            <a:t> Product)</a:t>
          </a:r>
          <a:endParaRPr lang="en-NG" sz="1200" b="1">
            <a:solidFill>
              <a:srgbClr val="843C0C"/>
            </a:solidFill>
          </a:endParaRPr>
        </a:p>
      </xdr:txBody>
    </xdr:sp>
    <xdr:clientData/>
  </xdr:oneCellAnchor>
  <xdr:oneCellAnchor>
    <xdr:from>
      <xdr:col>20</xdr:col>
      <xdr:colOff>390484</xdr:colOff>
      <xdr:row>0</xdr:row>
      <xdr:rowOff>11908</xdr:rowOff>
    </xdr:from>
    <xdr:ext cx="1283045" cy="374141"/>
    <xdr:sp macro="" textlink="'Pivot Table'!B20">
      <xdr:nvSpPr>
        <xdr:cNvPr id="37" name="TextBox 36">
          <a:extLst>
            <a:ext uri="{FF2B5EF4-FFF2-40B4-BE49-F238E27FC236}">
              <a16:creationId xmlns:a16="http://schemas.microsoft.com/office/drawing/2014/main" id="{2071D5B6-2801-437D-ABC7-22B40567E984}"/>
            </a:ext>
          </a:extLst>
        </xdr:cNvPr>
        <xdr:cNvSpPr txBox="1"/>
      </xdr:nvSpPr>
      <xdr:spPr>
        <a:xfrm>
          <a:off x="12534859" y="11908"/>
          <a:ext cx="128304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800" b="1">
              <a:solidFill>
                <a:srgbClr val="843C0C"/>
              </a:solidFill>
            </a:rPr>
            <a:t>Technology</a:t>
          </a:r>
          <a:endParaRPr lang="en-NG" sz="1800" b="1">
            <a:solidFill>
              <a:srgbClr val="843C0C"/>
            </a:solidFill>
          </a:endParaRPr>
        </a:p>
      </xdr:txBody>
    </xdr:sp>
    <xdr:clientData/>
  </xdr:oneCellAnchor>
  <xdr:twoCellAnchor editAs="oneCell">
    <xdr:from>
      <xdr:col>12</xdr:col>
      <xdr:colOff>0</xdr:colOff>
      <xdr:row>37</xdr:row>
      <xdr:rowOff>0</xdr:rowOff>
    </xdr:from>
    <xdr:to>
      <xdr:col>14</xdr:col>
      <xdr:colOff>85725</xdr:colOff>
      <xdr:row>38</xdr:row>
      <xdr:rowOff>9525</xdr:rowOff>
    </xdr:to>
    <xdr:pic>
      <xdr:nvPicPr>
        <xdr:cNvPr id="38" name="Picture 37">
          <a:extLst>
            <a:ext uri="{FF2B5EF4-FFF2-40B4-BE49-F238E27FC236}">
              <a16:creationId xmlns:a16="http://schemas.microsoft.com/office/drawing/2014/main" id="{31FC549C-7C12-D3F1-46E3-217C0DB4C4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15200" y="7048500"/>
          <a:ext cx="13049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37</xdr:row>
      <xdr:rowOff>0</xdr:rowOff>
    </xdr:from>
    <xdr:to>
      <xdr:col>14</xdr:col>
      <xdr:colOff>85725</xdr:colOff>
      <xdr:row>38</xdr:row>
      <xdr:rowOff>9525</xdr:rowOff>
    </xdr:to>
    <xdr:pic>
      <xdr:nvPicPr>
        <xdr:cNvPr id="39" name="Picture 38">
          <a:extLst>
            <a:ext uri="{FF2B5EF4-FFF2-40B4-BE49-F238E27FC236}">
              <a16:creationId xmlns:a16="http://schemas.microsoft.com/office/drawing/2014/main" id="{10E68577-6D01-580D-6F4D-D3CFEC1A19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15200" y="7048500"/>
          <a:ext cx="13049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350046</xdr:colOff>
      <xdr:row>19</xdr:row>
      <xdr:rowOff>61645</xdr:rowOff>
    </xdr:from>
    <xdr:to>
      <xdr:col>17</xdr:col>
      <xdr:colOff>100296</xdr:colOff>
      <xdr:row>34</xdr:row>
      <xdr:rowOff>120145</xdr:rowOff>
    </xdr:to>
    <xdr:graphicFrame macro="">
      <xdr:nvGraphicFramePr>
        <xdr:cNvPr id="42" name="Chart 41">
          <a:extLst>
            <a:ext uri="{FF2B5EF4-FFF2-40B4-BE49-F238E27FC236}">
              <a16:creationId xmlns:a16="http://schemas.microsoft.com/office/drawing/2014/main" id="{B383C36E-2568-45B5-A40C-252AFE743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300303</xdr:colOff>
      <xdr:row>4</xdr:row>
      <xdr:rowOff>154782</xdr:rowOff>
    </xdr:from>
    <xdr:to>
      <xdr:col>17</xdr:col>
      <xdr:colOff>35718</xdr:colOff>
      <xdr:row>17</xdr:row>
      <xdr:rowOff>119064</xdr:rowOff>
    </xdr:to>
    <xdr:graphicFrame macro="">
      <xdr:nvGraphicFramePr>
        <xdr:cNvPr id="41" name="Chart 40">
          <a:extLst>
            <a:ext uri="{FF2B5EF4-FFF2-40B4-BE49-F238E27FC236}">
              <a16:creationId xmlns:a16="http://schemas.microsoft.com/office/drawing/2014/main" id="{72C29607-1F1C-4B95-A2B0-437307078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465812</xdr:colOff>
      <xdr:row>4</xdr:row>
      <xdr:rowOff>166687</xdr:rowOff>
    </xdr:from>
    <xdr:to>
      <xdr:col>25</xdr:col>
      <xdr:colOff>180062</xdr:colOff>
      <xdr:row>17</xdr:row>
      <xdr:rowOff>142875</xdr:rowOff>
    </xdr:to>
    <xdr:graphicFrame macro="">
      <xdr:nvGraphicFramePr>
        <xdr:cNvPr id="45" name="Chart 44">
          <a:extLst>
            <a:ext uri="{FF2B5EF4-FFF2-40B4-BE49-F238E27FC236}">
              <a16:creationId xmlns:a16="http://schemas.microsoft.com/office/drawing/2014/main" id="{0B7E3558-F750-4AC8-88F0-506102E42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357185</xdr:colOff>
      <xdr:row>19</xdr:row>
      <xdr:rowOff>49739</xdr:rowOff>
    </xdr:from>
    <xdr:to>
      <xdr:col>8</xdr:col>
      <xdr:colOff>607218</xdr:colOff>
      <xdr:row>34</xdr:row>
      <xdr:rowOff>47625</xdr:rowOff>
    </xdr:to>
    <xdr:graphicFrame macro="">
      <xdr:nvGraphicFramePr>
        <xdr:cNvPr id="24" name="Chart 23">
          <a:extLst>
            <a:ext uri="{FF2B5EF4-FFF2-40B4-BE49-F238E27FC236}">
              <a16:creationId xmlns:a16="http://schemas.microsoft.com/office/drawing/2014/main" id="{77AB2F2D-93A8-4712-90FB-919DB07C8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478434</xdr:colOff>
      <xdr:row>19</xdr:row>
      <xdr:rowOff>44562</xdr:rowOff>
    </xdr:from>
    <xdr:to>
      <xdr:col>25</xdr:col>
      <xdr:colOff>187862</xdr:colOff>
      <xdr:row>34</xdr:row>
      <xdr:rowOff>103062</xdr:rowOff>
    </xdr:to>
    <xdr:graphicFrame macro="">
      <xdr:nvGraphicFramePr>
        <xdr:cNvPr id="49" name="Chart 48">
          <a:extLst>
            <a:ext uri="{FF2B5EF4-FFF2-40B4-BE49-F238E27FC236}">
              <a16:creationId xmlns:a16="http://schemas.microsoft.com/office/drawing/2014/main" id="{6FC99C10-F34E-4DD0-90C2-5E38B00A5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KKY" refreshedDate="46217.719342245371" createdVersion="8" refreshedVersion="8" minRefreshableVersion="3" recordCount="500" xr:uid="{BF5B1968-EA86-4E3D-9A72-65DF889A5A02}">
  <cacheSource type="worksheet">
    <worksheetSource ref="A1:P501" sheet="Sales Data"/>
  </cacheSource>
  <cacheFields count="19">
    <cacheField name="Order_ID" numFmtId="0">
      <sharedItems/>
    </cacheField>
    <cacheField name="Order_Date" numFmtId="164">
      <sharedItems containsSemiMixedTypes="0" containsNonDate="0" containsDate="1" containsString="0" minDate="2025-07-12T00:00:00" maxDate="2026-07-13T00:00:00" count="275">
        <d v="2026-03-19T00:00:00"/>
        <d v="2025-08-16T00:00:00"/>
        <d v="2026-02-13T00:00:00"/>
        <d v="2026-02-21T00:00:00"/>
        <d v="2025-11-06T00:00:00"/>
        <d v="2026-04-01T00:00:00"/>
        <d v="2026-02-05T00:00:00"/>
        <d v="2026-06-21T00:00:00"/>
        <d v="2025-10-17T00:00:00"/>
        <d v="2026-04-19T00:00:00"/>
        <d v="2026-03-15T00:00:00"/>
        <d v="2026-05-04T00:00:00"/>
        <d v="2025-09-30T00:00:00"/>
        <d v="2026-04-29T00:00:00"/>
        <d v="2025-10-24T00:00:00"/>
        <d v="2025-08-18T00:00:00"/>
        <d v="2025-09-17T00:00:00"/>
        <d v="2026-05-21T00:00:00"/>
        <d v="2026-04-21T00:00:00"/>
        <d v="2025-11-17T00:00:00"/>
        <d v="2025-10-02T00:00:00"/>
        <d v="2026-04-17T00:00:00"/>
        <d v="2025-08-01T00:00:00"/>
        <d v="2025-11-10T00:00:00"/>
        <d v="2026-07-06T00:00:00"/>
        <d v="2025-11-03T00:00:00"/>
        <d v="2026-02-01T00:00:00"/>
        <d v="2026-05-13T00:00:00"/>
        <d v="2025-12-26T00:00:00"/>
        <d v="2026-05-23T00:00:00"/>
        <d v="2026-05-18T00:00:00"/>
        <d v="2026-06-14T00:00:00"/>
        <d v="2025-09-25T00:00:00"/>
        <d v="2026-03-22T00:00:00"/>
        <d v="2026-07-03T00:00:00"/>
        <d v="2026-04-24T00:00:00"/>
        <d v="2026-02-27T00:00:00"/>
        <d v="2026-07-12T00:00:00"/>
        <d v="2026-01-24T00:00:00"/>
        <d v="2026-02-09T00:00:00"/>
        <d v="2025-12-11T00:00:00"/>
        <d v="2025-07-26T00:00:00"/>
        <d v="2025-07-25T00:00:00"/>
        <d v="2025-08-06T00:00:00"/>
        <d v="2025-11-18T00:00:00"/>
        <d v="2026-06-10T00:00:00"/>
        <d v="2026-06-19T00:00:00"/>
        <d v="2025-09-08T00:00:00"/>
        <d v="2025-08-19T00:00:00"/>
        <d v="2026-01-05T00:00:00"/>
        <d v="2025-09-04T00:00:00"/>
        <d v="2025-11-13T00:00:00"/>
        <d v="2026-03-18T00:00:00"/>
        <d v="2026-02-26T00:00:00"/>
        <d v="2026-01-16T00:00:00"/>
        <d v="2025-11-27T00:00:00"/>
        <d v="2025-10-18T00:00:00"/>
        <d v="2025-10-11T00:00:00"/>
        <d v="2026-07-04T00:00:00"/>
        <d v="2025-10-14T00:00:00"/>
        <d v="2025-09-27T00:00:00"/>
        <d v="2026-05-24T00:00:00"/>
        <d v="2026-05-25T00:00:00"/>
        <d v="2025-10-08T00:00:00"/>
        <d v="2025-11-07T00:00:00"/>
        <d v="2026-06-15T00:00:00"/>
        <d v="2025-10-04T00:00:00"/>
        <d v="2026-07-05T00:00:00"/>
        <d v="2026-05-17T00:00:00"/>
        <d v="2026-04-03T00:00:00"/>
        <d v="2026-02-06T00:00:00"/>
        <d v="2026-06-13T00:00:00"/>
        <d v="2025-08-07T00:00:00"/>
        <d v="2025-11-11T00:00:00"/>
        <d v="2026-03-05T00:00:00"/>
        <d v="2026-04-13T00:00:00"/>
        <d v="2026-04-30T00:00:00"/>
        <d v="2026-03-02T00:00:00"/>
        <d v="2026-07-01T00:00:00"/>
        <d v="2026-02-24T00:00:00"/>
        <d v="2026-02-17T00:00:00"/>
        <d v="2026-06-18T00:00:00"/>
        <d v="2026-06-04T00:00:00"/>
        <d v="2026-01-23T00:00:00"/>
        <d v="2026-06-28T00:00:00"/>
        <d v="2025-07-29T00:00:00"/>
        <d v="2025-10-09T00:00:00"/>
        <d v="2026-01-01T00:00:00"/>
        <d v="2026-01-30T00:00:00"/>
        <d v="2025-09-05T00:00:00"/>
        <d v="2025-08-30T00:00:00"/>
        <d v="2025-07-13T00:00:00"/>
        <d v="2026-02-12T00:00:00"/>
        <d v="2026-02-28T00:00:00"/>
        <d v="2026-02-15T00:00:00"/>
        <d v="2025-08-14T00:00:00"/>
        <d v="2026-03-27T00:00:00"/>
        <d v="2025-11-05T00:00:00"/>
        <d v="2026-01-19T00:00:00"/>
        <d v="2025-09-16T00:00:00"/>
        <d v="2026-05-26T00:00:00"/>
        <d v="2026-06-01T00:00:00"/>
        <d v="2026-01-17T00:00:00"/>
        <d v="2026-06-22T00:00:00"/>
        <d v="2025-10-30T00:00:00"/>
        <d v="2025-08-04T00:00:00"/>
        <d v="2025-12-07T00:00:00"/>
        <d v="2026-03-25T00:00:00"/>
        <d v="2025-08-20T00:00:00"/>
        <d v="2025-07-22T00:00:00"/>
        <d v="2026-05-09T00:00:00"/>
        <d v="2025-09-24T00:00:00"/>
        <d v="2026-02-23T00:00:00"/>
        <d v="2026-05-05T00:00:00"/>
        <d v="2025-08-12T00:00:00"/>
        <d v="2026-06-24T00:00:00"/>
        <d v="2025-12-04T00:00:00"/>
        <d v="2026-06-12T00:00:00"/>
        <d v="2025-09-15T00:00:00"/>
        <d v="2026-01-13T00:00:00"/>
        <d v="2025-12-10T00:00:00"/>
        <d v="2025-09-28T00:00:00"/>
        <d v="2026-07-11T00:00:00"/>
        <d v="2025-08-27T00:00:00"/>
        <d v="2026-01-25T00:00:00"/>
        <d v="2025-12-05T00:00:00"/>
        <d v="2025-11-20T00:00:00"/>
        <d v="2025-08-05T00:00:00"/>
        <d v="2025-07-20T00:00:00"/>
        <d v="2025-11-12T00:00:00"/>
        <d v="2026-03-28T00:00:00"/>
        <d v="2026-01-10T00:00:00"/>
        <d v="2026-01-08T00:00:00"/>
        <d v="2026-03-03T00:00:00"/>
        <d v="2026-04-16T00:00:00"/>
        <d v="2025-11-28T00:00:00"/>
        <d v="2025-12-23T00:00:00"/>
        <d v="2026-01-07T00:00:00"/>
        <d v="2026-01-14T00:00:00"/>
        <d v="2025-08-15T00:00:00"/>
        <d v="2025-11-16T00:00:00"/>
        <d v="2025-11-22T00:00:00"/>
        <d v="2025-09-21T00:00:00"/>
        <d v="2025-09-14T00:00:00"/>
        <d v="2025-10-13T00:00:00"/>
        <d v="2026-06-02T00:00:00"/>
        <d v="2026-05-11T00:00:00"/>
        <d v="2026-06-05T00:00:00"/>
        <d v="2026-03-23T00:00:00"/>
        <d v="2025-09-23T00:00:00"/>
        <d v="2026-03-24T00:00:00"/>
        <d v="2025-07-16T00:00:00"/>
        <d v="2025-12-02T00:00:00"/>
        <d v="2026-01-15T00:00:00"/>
        <d v="2025-12-22T00:00:00"/>
        <d v="2025-12-16T00:00:00"/>
        <d v="2026-05-06T00:00:00"/>
        <d v="2026-03-10T00:00:00"/>
        <d v="2026-04-07T00:00:00"/>
        <d v="2026-06-30T00:00:00"/>
        <d v="2026-06-23T00:00:00"/>
        <d v="2025-08-26T00:00:00"/>
        <d v="2026-03-01T00:00:00"/>
        <d v="2025-12-28T00:00:00"/>
        <d v="2026-02-25T00:00:00"/>
        <d v="2026-03-07T00:00:00"/>
        <d v="2025-11-01T00:00:00"/>
        <d v="2025-11-15T00:00:00"/>
        <d v="2026-06-25T00:00:00"/>
        <d v="2026-03-31T00:00:00"/>
        <d v="2026-01-29T00:00:00"/>
        <d v="2026-02-14T00:00:00"/>
        <d v="2025-07-28T00:00:00"/>
        <d v="2025-10-31T00:00:00"/>
        <d v="2026-05-10T00:00:00"/>
        <d v="2026-04-06T00:00:00"/>
        <d v="2026-04-23T00:00:00"/>
        <d v="2025-08-28T00:00:00"/>
        <d v="2026-05-08T00:00:00"/>
        <d v="2026-04-20T00:00:00"/>
        <d v="2025-11-02T00:00:00"/>
        <d v="2026-01-22T00:00:00"/>
        <d v="2026-03-04T00:00:00"/>
        <d v="2026-01-21T00:00:00"/>
        <d v="2026-06-07T00:00:00"/>
        <d v="2025-08-08T00:00:00"/>
        <d v="2026-04-22T00:00:00"/>
        <d v="2025-12-25T00:00:00"/>
        <d v="2025-10-06T00:00:00"/>
        <d v="2025-10-05T00:00:00"/>
        <d v="2026-05-12T00:00:00"/>
        <d v="2025-10-10T00:00:00"/>
        <d v="2026-07-09T00:00:00"/>
        <d v="2026-06-29T00:00:00"/>
        <d v="2025-07-24T00:00:00"/>
        <d v="2025-12-12T00:00:00"/>
        <d v="2026-04-02T00:00:00"/>
        <d v="2025-10-15T00:00:00"/>
        <d v="2026-02-16T00:00:00"/>
        <d v="2025-12-15T00:00:00"/>
        <d v="2026-05-02T00:00:00"/>
        <d v="2026-04-25T00:00:00"/>
        <d v="2026-04-27T00:00:00"/>
        <d v="2026-04-15T00:00:00"/>
        <d v="2026-05-31T00:00:00"/>
        <d v="2025-09-19T00:00:00"/>
        <d v="2026-01-03T00:00:00"/>
        <d v="2025-07-12T00:00:00"/>
        <d v="2025-11-04T00:00:00"/>
        <d v="2026-03-13T00:00:00"/>
        <d v="2026-02-22T00:00:00"/>
        <d v="2025-09-01T00:00:00"/>
        <d v="2025-11-30T00:00:00"/>
        <d v="2025-09-07T00:00:00"/>
        <d v="2026-01-26T00:00:00"/>
        <d v="2025-07-19T00:00:00"/>
        <d v="2025-08-25T00:00:00"/>
        <d v="2025-09-10T00:00:00"/>
        <d v="2026-05-29T00:00:00"/>
        <d v="2025-11-19T00:00:00"/>
        <d v="2025-11-14T00:00:00"/>
        <d v="2025-09-03T00:00:00"/>
        <d v="2026-06-03T00:00:00"/>
        <d v="2025-12-20T00:00:00"/>
        <d v="2025-09-11T00:00:00"/>
        <d v="2026-03-14T00:00:00"/>
        <d v="2025-09-22T00:00:00"/>
        <d v="2025-11-08T00:00:00"/>
        <d v="2026-07-07T00:00:00"/>
        <d v="2025-10-27T00:00:00"/>
        <d v="2026-04-18T00:00:00"/>
        <d v="2026-04-14T00:00:00"/>
        <d v="2026-03-20T00:00:00"/>
        <d v="2025-08-24T00:00:00"/>
        <d v="2026-04-12T00:00:00"/>
        <d v="2026-03-26T00:00:00"/>
        <d v="2025-11-24T00:00:00"/>
        <d v="2025-11-26T00:00:00"/>
        <d v="2026-02-03T00:00:00"/>
        <d v="2025-10-03T00:00:00"/>
        <d v="2025-10-29T00:00:00"/>
        <d v="2026-03-11T00:00:00"/>
        <d v="2026-05-07T00:00:00"/>
        <d v="2025-10-12T00:00:00"/>
        <d v="2026-03-09T00:00:00"/>
        <d v="2026-04-09T00:00:00"/>
        <d v="2025-07-14T00:00:00"/>
        <d v="2025-09-02T00:00:00"/>
        <d v="2026-04-04T00:00:00"/>
        <d v="2026-01-11T00:00:00"/>
        <d v="2026-03-30T00:00:00"/>
        <d v="2026-03-06T00:00:00"/>
        <d v="2025-08-29T00:00:00"/>
        <d v="2026-03-16T00:00:00"/>
        <d v="2026-05-03T00:00:00"/>
        <d v="2025-07-30T00:00:00"/>
        <d v="2026-01-02T00:00:00"/>
        <d v="2025-10-20T00:00:00"/>
        <d v="2025-11-29T00:00:00"/>
        <d v="2025-12-19T00:00:00"/>
        <d v="2026-02-10T00:00:00"/>
        <d v="2026-06-27T00:00:00"/>
        <d v="2025-11-21T00:00:00"/>
        <d v="2026-04-11T00:00:00"/>
        <d v="2026-06-20T00:00:00"/>
        <d v="2026-03-17T00:00:00"/>
        <d v="2025-08-22T00:00:00"/>
        <d v="2026-06-11T00:00:00"/>
        <d v="2026-01-20T00:00:00"/>
        <d v="2026-05-16T00:00:00"/>
        <d v="2026-05-22T00:00:00"/>
        <d v="2025-08-23T00:00:00"/>
        <d v="2025-09-29T00:00:00"/>
        <d v="2026-03-12T00:00:00"/>
        <d v="2025-11-09T00:00:00"/>
      </sharedItems>
      <fieldGroup par="18"/>
    </cacheField>
    <cacheField name="Customer_Name" numFmtId="0">
      <sharedItems count="50">
        <s v="Chinedu Yusuf"/>
        <s v="Bolanle Balogun"/>
        <s v="Obinna Ibekwe"/>
        <s v="Ngozi Nwosu"/>
        <s v="Kunle Adekunle"/>
        <s v="Ibrahim2 Bello"/>
        <s v="Michael Nwosu"/>
        <s v="Yemi Bello"/>
        <s v="Emeka Chukwu"/>
        <s v="Ndidi Balogun"/>
        <s v="Kelechi Yusuf"/>
        <s v="Jide Balogun"/>
        <s v="Segun Eze"/>
        <s v="Uche Nwosu"/>
        <s v="Abiodun Eze"/>
        <s v="Ibrahim Adekunle"/>
        <s v="Samuel Musa"/>
        <s v="Oluwaseun Nwosu"/>
        <s v="Chinedu Adebayo"/>
        <s v="Kunle Nnamdi"/>
        <s v="Victor Ogundipe"/>
        <s v="Esther Lawal"/>
        <s v="Uche Eze"/>
        <s v="Abiodun Adekunle"/>
        <s v="Ngozi Ibekwe"/>
        <s v="Ibrahim Afolabi"/>
        <s v="Amaka Afolabi"/>
        <s v="Ifeoma Nnamdi"/>
        <s v="Chinedu Adeyemi"/>
        <s v="Grace Chukwu"/>
        <s v="Yusuf Adeyemi"/>
        <s v="Ibrahim2 Abubakar"/>
        <s v="Aisha Nwosu"/>
        <s v="Damilola Okafor"/>
        <s v="Damilola Nnamdi"/>
        <s v="Kelechi Eze"/>
        <s v="Abiodun Adebayo"/>
        <s v="Joy Ibekwe"/>
        <s v="Hassan Yusuf"/>
        <s v="Jide Ogundipe"/>
        <s v="Kelechi Adeyemi"/>
        <s v="Chidinma Yusuf"/>
        <s v="Emeka Adeyemi"/>
        <s v="Abiodun Musa"/>
        <s v="Esther Adeyemi"/>
        <s v="David Adebayo"/>
        <s v="Yemi Yusuf"/>
        <s v="Bolanle Abubakar"/>
        <s v="Yusuf Adebayo"/>
        <s v="Ifeoma Nwosu"/>
      </sharedItems>
    </cacheField>
    <cacheField name="Gender" numFmtId="0">
      <sharedItems count="2">
        <s v="Male"/>
        <s v="Female"/>
      </sharedItems>
    </cacheField>
    <cacheField name="Age" numFmtId="0">
      <sharedItems containsSemiMixedTypes="0" containsString="0" containsNumber="1" containsInteger="1" minValue="18" maxValue="65" count="48">
        <n v="25"/>
        <n v="52"/>
        <n v="46"/>
        <n v="32"/>
        <n v="35"/>
        <n v="24"/>
        <n v="59"/>
        <n v="21"/>
        <n v="43"/>
        <n v="64"/>
        <n v="50"/>
        <n v="55"/>
        <n v="63"/>
        <n v="47"/>
        <n v="22"/>
        <n v="51"/>
        <n v="23"/>
        <n v="41"/>
        <n v="31"/>
        <n v="29"/>
        <n v="42"/>
        <n v="60"/>
        <n v="40"/>
        <n v="20"/>
        <n v="39"/>
        <n v="62"/>
        <n v="37"/>
        <n v="38"/>
        <n v="36"/>
        <n v="33"/>
        <n v="27"/>
        <n v="48"/>
        <n v="19"/>
        <n v="54"/>
        <n v="28"/>
        <n v="45"/>
        <n v="53"/>
        <n v="34"/>
        <n v="65"/>
        <n v="18"/>
        <n v="58"/>
        <n v="57"/>
        <n v="56"/>
        <n v="26"/>
        <n v="61"/>
        <n v="30"/>
        <n v="44"/>
        <n v="49"/>
      </sharedItems>
      <fieldGroup base="4">
        <rangePr startNum="18" endNum="65" groupInterval="10"/>
        <groupItems count="7">
          <s v="&lt;18"/>
          <s v="18-27"/>
          <s v="28-37"/>
          <s v="38-47"/>
          <s v="48-57"/>
          <s v="58-67"/>
          <s v="&gt;68"/>
        </groupItems>
      </fieldGroup>
    </cacheField>
    <cacheField name="City" numFmtId="0">
      <sharedItems count="6">
        <s v="Ibadan"/>
        <s v="Abeokuta"/>
        <s v="Abuja"/>
        <s v="Lagos"/>
        <s v="Oyo"/>
        <s v="Ife"/>
      </sharedItems>
    </cacheField>
    <cacheField name="Product_Category" numFmtId="0">
      <sharedItems count="6">
        <s v="Office Supplies"/>
        <s v="Furniture"/>
        <s v="Beverages"/>
        <s v="Electronics"/>
        <s v="Technology"/>
        <s v="Cosmetics"/>
      </sharedItems>
    </cacheField>
    <cacheField name="Product_Name" numFmtId="0">
      <sharedItems count="24">
        <s v="Stapler"/>
        <s v="Bookshelf"/>
        <s v="Soft Drink Carton"/>
        <s v="Dining Table Set"/>
        <s v="LED TV 43-inch"/>
        <s v="Smartphone"/>
        <s v="Malt Drink Carton"/>
        <s v="DVD Player"/>
        <s v="Body Lotion"/>
        <s v="Fruit Juice Pack"/>
        <s v="Office Chair"/>
        <s v="Wardrobe"/>
        <s v="Printer Ink Cartridge"/>
        <s v="Perfume"/>
        <s v="Wireless Router"/>
        <s v="Bluetooth Speaker"/>
        <s v="Filing Cabinet"/>
        <s v="Laptop"/>
        <s v="A4 Paper Ream"/>
        <s v="External Hard Drive"/>
        <s v="Bottled Water Carton"/>
        <s v="Skincare Kit"/>
        <s v="Lipstick Set"/>
        <s v="Home Theater System"/>
      </sharedItems>
    </cacheField>
    <cacheField name="Quantity" numFmtId="0">
      <sharedItems containsSemiMixedTypes="0" containsString="0" containsNumber="1" containsInteger="1" minValue="1" maxValue="10"/>
    </cacheField>
    <cacheField name="Unit_Price" numFmtId="3">
      <sharedItems containsSemiMixedTypes="0" containsString="0" containsNumber="1" containsInteger="1" minValue="1600" maxValue="443300"/>
    </cacheField>
    <cacheField name="Discount (%)" numFmtId="9">
      <sharedItems containsSemiMixedTypes="0" containsString="0" containsNumber="1" minValue="0" maxValue="0.2"/>
    </cacheField>
    <cacheField name="Payment_Method" numFmtId="0">
      <sharedItems count="3">
        <s v="Cash"/>
        <s v="Transfer"/>
        <s v="POS"/>
      </sharedItems>
    </cacheField>
    <cacheField name="Salesperson" numFmtId="0">
      <sharedItems count="10">
        <s v="Staff 08 - Grace K."/>
        <s v="Staff 10 - Amaka U."/>
        <s v="Staff 06 - Bisi A."/>
        <s v="Staff 09 - Chinedu O."/>
        <s v="Staff 02 - Ngozi E."/>
        <s v="Staff 01 - Adewale O."/>
        <s v="Staff 04 - Fatima M."/>
        <s v="Staff 05 - Emeka N."/>
        <s v="Staff 03 - Tunde B."/>
        <s v="Staff 07 - Yusuf I."/>
      </sharedItems>
    </cacheField>
    <cacheField name="Gross Sales" numFmtId="3">
      <sharedItems containsSemiMixedTypes="0" containsString="0" containsNumber="1" containsInteger="1" minValue="1600" maxValue="4433000"/>
    </cacheField>
    <cacheField name="Discount Amount" numFmtId="3">
      <sharedItems containsSemiMixedTypes="0" containsString="0" containsNumber="1" minValue="0" maxValue="505134"/>
    </cacheField>
    <cacheField name="Net Revenue" numFmtId="3">
      <sharedItems containsSemiMixedTypes="0" containsString="0" containsNumber="1" containsInteger="1" minValue="1440" maxValue="4122690"/>
    </cacheField>
    <cacheField name="Months (Order_Date)" numFmtId="0" databaseField="0">
      <fieldGroup base="1">
        <rangePr groupBy="months" startDate="2025-07-12T00:00:00" endDate="2026-07-13T00:00:00"/>
        <groupItems count="14">
          <s v="&lt;12/07/2025"/>
          <s v="Jan"/>
          <s v="Feb"/>
          <s v="Mar"/>
          <s v="Apr"/>
          <s v="May"/>
          <s v="Jun"/>
          <s v="Jul"/>
          <s v="Aug"/>
          <s v="Sep"/>
          <s v="Oct"/>
          <s v="Nov"/>
          <s v="Dec"/>
          <s v="&gt;13/07/2026"/>
        </groupItems>
      </fieldGroup>
    </cacheField>
    <cacheField name="Quarters (Order_Date)" numFmtId="0" databaseField="0">
      <fieldGroup base="1">
        <rangePr groupBy="quarters" startDate="2025-07-12T00:00:00" endDate="2026-07-13T00:00:00"/>
        <groupItems count="6">
          <s v="&lt;12/07/2025"/>
          <s v="Qtr1"/>
          <s v="Qtr2"/>
          <s v="Qtr3"/>
          <s v="Qtr4"/>
          <s v="&gt;13/07/2026"/>
        </groupItems>
      </fieldGroup>
    </cacheField>
    <cacheField name="Years (Order_Date)" numFmtId="0" databaseField="0">
      <fieldGroup base="1">
        <rangePr groupBy="years" startDate="2025-07-12T00:00:00" endDate="2026-07-13T00:00:00"/>
        <groupItems count="4">
          <s v="&lt;12/07/2025"/>
          <s v="2025"/>
          <s v="2026"/>
          <s v="&gt;13/07/2026"/>
        </groupItems>
      </fieldGroup>
    </cacheField>
  </cacheFields>
  <extLst>
    <ext xmlns:x14="http://schemas.microsoft.com/office/spreadsheetml/2009/9/main" uri="{725AE2AE-9491-48be-B2B4-4EB974FC3084}">
      <x14:pivotCacheDefinition pivotCacheId="1206064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01"/>
    <x v="0"/>
    <x v="0"/>
    <x v="0"/>
    <x v="0"/>
    <x v="0"/>
    <x v="0"/>
    <x v="0"/>
    <n v="4"/>
    <n v="1600"/>
    <n v="0.02"/>
    <x v="0"/>
    <x v="0"/>
    <n v="6400"/>
    <n v="128"/>
    <n v="6272"/>
  </r>
  <r>
    <s v="ORD-00002"/>
    <x v="1"/>
    <x v="1"/>
    <x v="0"/>
    <x v="1"/>
    <x v="1"/>
    <x v="1"/>
    <x v="1"/>
    <n v="3"/>
    <n v="48000"/>
    <n v="0.1"/>
    <x v="1"/>
    <x v="1"/>
    <n v="144000"/>
    <n v="14400"/>
    <n v="129600"/>
  </r>
  <r>
    <s v="ORD-00003"/>
    <x v="2"/>
    <x v="2"/>
    <x v="1"/>
    <x v="1"/>
    <x v="2"/>
    <x v="2"/>
    <x v="2"/>
    <n v="5"/>
    <n v="4500"/>
    <n v="0.15"/>
    <x v="1"/>
    <x v="2"/>
    <n v="22500"/>
    <n v="3375"/>
    <n v="19125"/>
  </r>
  <r>
    <s v="ORD-00004"/>
    <x v="3"/>
    <x v="3"/>
    <x v="1"/>
    <x v="2"/>
    <x v="3"/>
    <x v="1"/>
    <x v="3"/>
    <n v="6"/>
    <n v="98400"/>
    <n v="0"/>
    <x v="1"/>
    <x v="3"/>
    <n v="590400"/>
    <n v="0"/>
    <n v="590400"/>
  </r>
  <r>
    <s v="ORD-00005"/>
    <x v="4"/>
    <x v="4"/>
    <x v="0"/>
    <x v="3"/>
    <x v="3"/>
    <x v="3"/>
    <x v="4"/>
    <n v="2"/>
    <n v="175000"/>
    <n v="0"/>
    <x v="2"/>
    <x v="4"/>
    <n v="350000"/>
    <n v="0"/>
    <n v="350000"/>
  </r>
  <r>
    <s v="ORD-00006"/>
    <x v="5"/>
    <x v="5"/>
    <x v="1"/>
    <x v="4"/>
    <x v="2"/>
    <x v="4"/>
    <x v="5"/>
    <n v="3"/>
    <n v="231400"/>
    <n v="0.18"/>
    <x v="0"/>
    <x v="0"/>
    <n v="694200"/>
    <n v="124956"/>
    <n v="569244"/>
  </r>
  <r>
    <s v="ORD-00007"/>
    <x v="6"/>
    <x v="6"/>
    <x v="1"/>
    <x v="5"/>
    <x v="3"/>
    <x v="2"/>
    <x v="6"/>
    <n v="7"/>
    <n v="5000"/>
    <n v="0.15"/>
    <x v="2"/>
    <x v="5"/>
    <n v="35000"/>
    <n v="5250"/>
    <n v="29750"/>
  </r>
  <r>
    <s v="ORD-00008"/>
    <x v="7"/>
    <x v="7"/>
    <x v="0"/>
    <x v="6"/>
    <x v="3"/>
    <x v="3"/>
    <x v="7"/>
    <n v="6"/>
    <n v="18000"/>
    <n v="0.02"/>
    <x v="0"/>
    <x v="6"/>
    <n v="108000"/>
    <n v="2160"/>
    <n v="105840"/>
  </r>
  <r>
    <s v="ORD-00009"/>
    <x v="8"/>
    <x v="8"/>
    <x v="0"/>
    <x v="2"/>
    <x v="1"/>
    <x v="4"/>
    <x v="5"/>
    <n v="8"/>
    <n v="163000"/>
    <n v="7.0000000000000007E-2"/>
    <x v="0"/>
    <x v="0"/>
    <n v="1304000"/>
    <n v="91280.000000000015"/>
    <n v="1212720"/>
  </r>
  <r>
    <s v="ORD-00010"/>
    <x v="9"/>
    <x v="9"/>
    <x v="1"/>
    <x v="7"/>
    <x v="2"/>
    <x v="5"/>
    <x v="8"/>
    <n v="4"/>
    <n v="2900"/>
    <n v="0.05"/>
    <x v="2"/>
    <x v="0"/>
    <n v="11600"/>
    <n v="580"/>
    <n v="11020"/>
  </r>
  <r>
    <s v="ORD-00011"/>
    <x v="10"/>
    <x v="2"/>
    <x v="1"/>
    <x v="8"/>
    <x v="3"/>
    <x v="1"/>
    <x v="1"/>
    <n v="7"/>
    <n v="30100"/>
    <n v="0.1"/>
    <x v="2"/>
    <x v="7"/>
    <n v="210700"/>
    <n v="21070"/>
    <n v="189630"/>
  </r>
  <r>
    <s v="ORD-00012"/>
    <x v="2"/>
    <x v="10"/>
    <x v="0"/>
    <x v="9"/>
    <x v="4"/>
    <x v="2"/>
    <x v="6"/>
    <n v="4"/>
    <n v="4100"/>
    <n v="0.1"/>
    <x v="0"/>
    <x v="5"/>
    <n v="16400"/>
    <n v="1640"/>
    <n v="14760"/>
  </r>
  <r>
    <s v="ORD-00013"/>
    <x v="11"/>
    <x v="11"/>
    <x v="0"/>
    <x v="1"/>
    <x v="3"/>
    <x v="2"/>
    <x v="9"/>
    <n v="1"/>
    <n v="2200"/>
    <n v="0.18"/>
    <x v="1"/>
    <x v="3"/>
    <n v="2200"/>
    <n v="396"/>
    <n v="1804"/>
  </r>
  <r>
    <s v="ORD-00014"/>
    <x v="12"/>
    <x v="12"/>
    <x v="1"/>
    <x v="10"/>
    <x v="3"/>
    <x v="1"/>
    <x v="10"/>
    <n v="2"/>
    <n v="44500"/>
    <n v="7.0000000000000007E-2"/>
    <x v="2"/>
    <x v="4"/>
    <n v="89000"/>
    <n v="6230.0000000000009"/>
    <n v="82770"/>
  </r>
  <r>
    <s v="ORD-00015"/>
    <x v="13"/>
    <x v="5"/>
    <x v="1"/>
    <x v="11"/>
    <x v="4"/>
    <x v="3"/>
    <x v="4"/>
    <n v="10"/>
    <n v="199900"/>
    <n v="0.2"/>
    <x v="2"/>
    <x v="7"/>
    <n v="1999000"/>
    <n v="399800"/>
    <n v="1599200"/>
  </r>
  <r>
    <s v="ORD-00016"/>
    <x v="14"/>
    <x v="13"/>
    <x v="0"/>
    <x v="12"/>
    <x v="0"/>
    <x v="1"/>
    <x v="11"/>
    <n v="3"/>
    <n v="121900"/>
    <n v="0.1"/>
    <x v="2"/>
    <x v="2"/>
    <n v="365700"/>
    <n v="36570"/>
    <n v="329130"/>
  </r>
  <r>
    <s v="ORD-00017"/>
    <x v="15"/>
    <x v="14"/>
    <x v="1"/>
    <x v="13"/>
    <x v="4"/>
    <x v="5"/>
    <x v="8"/>
    <n v="9"/>
    <n v="2800"/>
    <n v="7.0000000000000007E-2"/>
    <x v="1"/>
    <x v="7"/>
    <n v="25200"/>
    <n v="1764.0000000000002"/>
    <n v="23436"/>
  </r>
  <r>
    <s v="ORD-00018"/>
    <x v="16"/>
    <x v="15"/>
    <x v="0"/>
    <x v="14"/>
    <x v="1"/>
    <x v="0"/>
    <x v="12"/>
    <n v="8"/>
    <n v="9300"/>
    <n v="0.2"/>
    <x v="1"/>
    <x v="7"/>
    <n v="74400"/>
    <n v="14880"/>
    <n v="59520"/>
  </r>
  <r>
    <s v="ORD-00019"/>
    <x v="17"/>
    <x v="7"/>
    <x v="0"/>
    <x v="15"/>
    <x v="3"/>
    <x v="2"/>
    <x v="9"/>
    <n v="3"/>
    <n v="2400"/>
    <n v="0.1"/>
    <x v="0"/>
    <x v="4"/>
    <n v="7200"/>
    <n v="720"/>
    <n v="6480"/>
  </r>
  <r>
    <s v="ORD-00020"/>
    <x v="18"/>
    <x v="16"/>
    <x v="1"/>
    <x v="4"/>
    <x v="0"/>
    <x v="5"/>
    <x v="13"/>
    <n v="4"/>
    <n v="19200"/>
    <n v="0.1"/>
    <x v="1"/>
    <x v="0"/>
    <n v="76800"/>
    <n v="7680"/>
    <n v="69120"/>
  </r>
  <r>
    <s v="ORD-00021"/>
    <x v="19"/>
    <x v="12"/>
    <x v="1"/>
    <x v="16"/>
    <x v="2"/>
    <x v="4"/>
    <x v="14"/>
    <n v="1"/>
    <n v="15700"/>
    <n v="0.12"/>
    <x v="0"/>
    <x v="7"/>
    <n v="15700"/>
    <n v="1884"/>
    <n v="13816"/>
  </r>
  <r>
    <s v="ORD-00022"/>
    <x v="20"/>
    <x v="11"/>
    <x v="0"/>
    <x v="2"/>
    <x v="4"/>
    <x v="2"/>
    <x v="6"/>
    <n v="1"/>
    <n v="5800"/>
    <n v="0.02"/>
    <x v="0"/>
    <x v="8"/>
    <n v="5800"/>
    <n v="116"/>
    <n v="5684"/>
  </r>
  <r>
    <s v="ORD-00023"/>
    <x v="21"/>
    <x v="17"/>
    <x v="0"/>
    <x v="17"/>
    <x v="4"/>
    <x v="5"/>
    <x v="13"/>
    <n v="3"/>
    <n v="22100"/>
    <n v="0"/>
    <x v="2"/>
    <x v="2"/>
    <n v="66300"/>
    <n v="0"/>
    <n v="66300"/>
  </r>
  <r>
    <s v="ORD-00024"/>
    <x v="22"/>
    <x v="15"/>
    <x v="0"/>
    <x v="18"/>
    <x v="2"/>
    <x v="1"/>
    <x v="10"/>
    <n v="9"/>
    <n v="36600"/>
    <n v="0.15"/>
    <x v="1"/>
    <x v="8"/>
    <n v="329400"/>
    <n v="49410"/>
    <n v="279990"/>
  </r>
  <r>
    <s v="ORD-00025"/>
    <x v="23"/>
    <x v="18"/>
    <x v="0"/>
    <x v="19"/>
    <x v="5"/>
    <x v="3"/>
    <x v="15"/>
    <n v="7"/>
    <n v="18900"/>
    <n v="7.0000000000000007E-2"/>
    <x v="2"/>
    <x v="8"/>
    <n v="132300"/>
    <n v="9261"/>
    <n v="123039"/>
  </r>
  <r>
    <s v="ORD-00026"/>
    <x v="24"/>
    <x v="9"/>
    <x v="1"/>
    <x v="20"/>
    <x v="3"/>
    <x v="4"/>
    <x v="5"/>
    <n v="8"/>
    <n v="142300"/>
    <n v="0.12"/>
    <x v="2"/>
    <x v="6"/>
    <n v="1138400"/>
    <n v="136608"/>
    <n v="1001792"/>
  </r>
  <r>
    <s v="ORD-00027"/>
    <x v="25"/>
    <x v="0"/>
    <x v="0"/>
    <x v="21"/>
    <x v="1"/>
    <x v="4"/>
    <x v="14"/>
    <n v="2"/>
    <n v="19600"/>
    <n v="0.1"/>
    <x v="2"/>
    <x v="3"/>
    <n v="39200"/>
    <n v="3920"/>
    <n v="35280"/>
  </r>
  <r>
    <s v="ORD-00028"/>
    <x v="26"/>
    <x v="19"/>
    <x v="1"/>
    <x v="1"/>
    <x v="0"/>
    <x v="3"/>
    <x v="4"/>
    <n v="3"/>
    <n v="179200"/>
    <n v="0.1"/>
    <x v="0"/>
    <x v="4"/>
    <n v="537600"/>
    <n v="53760"/>
    <n v="483840"/>
  </r>
  <r>
    <s v="ORD-00029"/>
    <x v="27"/>
    <x v="20"/>
    <x v="1"/>
    <x v="22"/>
    <x v="2"/>
    <x v="0"/>
    <x v="16"/>
    <n v="9"/>
    <n v="54900"/>
    <n v="0.02"/>
    <x v="2"/>
    <x v="1"/>
    <n v="494100"/>
    <n v="9882"/>
    <n v="484218"/>
  </r>
  <r>
    <s v="ORD-00030"/>
    <x v="8"/>
    <x v="21"/>
    <x v="0"/>
    <x v="23"/>
    <x v="2"/>
    <x v="4"/>
    <x v="17"/>
    <n v="9"/>
    <n v="386300"/>
    <n v="7.0000000000000007E-2"/>
    <x v="2"/>
    <x v="9"/>
    <n v="3476700"/>
    <n v="243369.00000000003"/>
    <n v="3233331"/>
  </r>
  <r>
    <s v="ORD-00031"/>
    <x v="1"/>
    <x v="13"/>
    <x v="0"/>
    <x v="24"/>
    <x v="4"/>
    <x v="0"/>
    <x v="18"/>
    <n v="5"/>
    <n v="4000"/>
    <n v="0.2"/>
    <x v="2"/>
    <x v="9"/>
    <n v="20000"/>
    <n v="4000"/>
    <n v="16000"/>
  </r>
  <r>
    <s v="ORD-00032"/>
    <x v="28"/>
    <x v="22"/>
    <x v="0"/>
    <x v="25"/>
    <x v="0"/>
    <x v="5"/>
    <x v="13"/>
    <n v="7"/>
    <n v="14300"/>
    <n v="0.15"/>
    <x v="1"/>
    <x v="8"/>
    <n v="100100"/>
    <n v="15015"/>
    <n v="85085"/>
  </r>
  <r>
    <s v="ORD-00033"/>
    <x v="29"/>
    <x v="23"/>
    <x v="1"/>
    <x v="26"/>
    <x v="5"/>
    <x v="5"/>
    <x v="8"/>
    <n v="5"/>
    <n v="3700"/>
    <n v="7.0000000000000007E-2"/>
    <x v="2"/>
    <x v="1"/>
    <n v="18500"/>
    <n v="1295.0000000000002"/>
    <n v="17205"/>
  </r>
  <r>
    <s v="ORD-00034"/>
    <x v="30"/>
    <x v="7"/>
    <x v="0"/>
    <x v="27"/>
    <x v="5"/>
    <x v="4"/>
    <x v="19"/>
    <n v="9"/>
    <n v="32000"/>
    <n v="0.18"/>
    <x v="1"/>
    <x v="8"/>
    <n v="288000"/>
    <n v="51840"/>
    <n v="236160"/>
  </r>
  <r>
    <s v="ORD-00035"/>
    <x v="31"/>
    <x v="24"/>
    <x v="1"/>
    <x v="28"/>
    <x v="4"/>
    <x v="2"/>
    <x v="9"/>
    <n v="4"/>
    <n v="2400"/>
    <n v="0.1"/>
    <x v="0"/>
    <x v="6"/>
    <n v="9600"/>
    <n v="960"/>
    <n v="8640"/>
  </r>
  <r>
    <s v="ORD-00036"/>
    <x v="32"/>
    <x v="0"/>
    <x v="0"/>
    <x v="23"/>
    <x v="1"/>
    <x v="4"/>
    <x v="17"/>
    <n v="7"/>
    <n v="369400"/>
    <n v="7.0000000000000007E-2"/>
    <x v="1"/>
    <x v="9"/>
    <n v="2585800"/>
    <n v="181006.00000000003"/>
    <n v="2404794"/>
  </r>
  <r>
    <s v="ORD-00037"/>
    <x v="33"/>
    <x v="22"/>
    <x v="0"/>
    <x v="29"/>
    <x v="1"/>
    <x v="2"/>
    <x v="20"/>
    <n v="2"/>
    <n v="2400"/>
    <n v="0.15"/>
    <x v="0"/>
    <x v="8"/>
    <n v="4800"/>
    <n v="720"/>
    <n v="4080"/>
  </r>
  <r>
    <s v="ORD-00038"/>
    <x v="34"/>
    <x v="3"/>
    <x v="1"/>
    <x v="13"/>
    <x v="3"/>
    <x v="5"/>
    <x v="13"/>
    <n v="8"/>
    <n v="12000"/>
    <n v="0.05"/>
    <x v="2"/>
    <x v="3"/>
    <n v="96000"/>
    <n v="4800"/>
    <n v="91200"/>
  </r>
  <r>
    <s v="ORD-00039"/>
    <x v="35"/>
    <x v="25"/>
    <x v="1"/>
    <x v="27"/>
    <x v="5"/>
    <x v="5"/>
    <x v="21"/>
    <n v="8"/>
    <n v="19000"/>
    <n v="0.05"/>
    <x v="1"/>
    <x v="0"/>
    <n v="152000"/>
    <n v="7600"/>
    <n v="144400"/>
  </r>
  <r>
    <s v="ORD-00040"/>
    <x v="36"/>
    <x v="21"/>
    <x v="0"/>
    <x v="29"/>
    <x v="2"/>
    <x v="0"/>
    <x v="16"/>
    <n v="4"/>
    <n v="55500"/>
    <n v="0.1"/>
    <x v="2"/>
    <x v="4"/>
    <n v="222000"/>
    <n v="22200"/>
    <n v="199800"/>
  </r>
  <r>
    <s v="ORD-00041"/>
    <x v="37"/>
    <x v="26"/>
    <x v="1"/>
    <x v="29"/>
    <x v="0"/>
    <x v="0"/>
    <x v="12"/>
    <n v="2"/>
    <n v="12400"/>
    <n v="0.05"/>
    <x v="0"/>
    <x v="6"/>
    <n v="24800"/>
    <n v="1240"/>
    <n v="23560"/>
  </r>
  <r>
    <s v="ORD-00042"/>
    <x v="38"/>
    <x v="10"/>
    <x v="0"/>
    <x v="30"/>
    <x v="2"/>
    <x v="1"/>
    <x v="10"/>
    <n v="7"/>
    <n v="38600"/>
    <n v="0.12"/>
    <x v="1"/>
    <x v="0"/>
    <n v="270200"/>
    <n v="32424"/>
    <n v="237776"/>
  </r>
  <r>
    <s v="ORD-00043"/>
    <x v="39"/>
    <x v="12"/>
    <x v="1"/>
    <x v="18"/>
    <x v="5"/>
    <x v="4"/>
    <x v="17"/>
    <n v="7"/>
    <n v="400900"/>
    <n v="0.18"/>
    <x v="0"/>
    <x v="2"/>
    <n v="2806300"/>
    <n v="505134"/>
    <n v="2301166"/>
  </r>
  <r>
    <s v="ORD-00044"/>
    <x v="40"/>
    <x v="1"/>
    <x v="0"/>
    <x v="20"/>
    <x v="5"/>
    <x v="5"/>
    <x v="13"/>
    <n v="4"/>
    <n v="24000"/>
    <n v="0.1"/>
    <x v="2"/>
    <x v="0"/>
    <n v="96000"/>
    <n v="9600"/>
    <n v="86400"/>
  </r>
  <r>
    <s v="ORD-00045"/>
    <x v="41"/>
    <x v="27"/>
    <x v="1"/>
    <x v="24"/>
    <x v="2"/>
    <x v="2"/>
    <x v="6"/>
    <n v="8"/>
    <n v="4200"/>
    <n v="0.05"/>
    <x v="1"/>
    <x v="3"/>
    <n v="33600"/>
    <n v="1680"/>
    <n v="31920"/>
  </r>
  <r>
    <s v="ORD-00046"/>
    <x v="42"/>
    <x v="22"/>
    <x v="0"/>
    <x v="11"/>
    <x v="4"/>
    <x v="2"/>
    <x v="20"/>
    <n v="7"/>
    <n v="1600"/>
    <n v="0.05"/>
    <x v="2"/>
    <x v="8"/>
    <n v="11200"/>
    <n v="560"/>
    <n v="10640"/>
  </r>
  <r>
    <s v="ORD-00047"/>
    <x v="43"/>
    <x v="21"/>
    <x v="0"/>
    <x v="20"/>
    <x v="0"/>
    <x v="1"/>
    <x v="1"/>
    <n v="6"/>
    <n v="40700"/>
    <n v="0.15"/>
    <x v="2"/>
    <x v="9"/>
    <n v="244200"/>
    <n v="36630"/>
    <n v="207570"/>
  </r>
  <r>
    <s v="ORD-00048"/>
    <x v="44"/>
    <x v="24"/>
    <x v="1"/>
    <x v="31"/>
    <x v="3"/>
    <x v="2"/>
    <x v="20"/>
    <n v="6"/>
    <n v="2500"/>
    <n v="7.0000000000000007E-2"/>
    <x v="1"/>
    <x v="4"/>
    <n v="15000"/>
    <n v="1050"/>
    <n v="13950"/>
  </r>
  <r>
    <s v="ORD-00049"/>
    <x v="45"/>
    <x v="17"/>
    <x v="0"/>
    <x v="32"/>
    <x v="1"/>
    <x v="1"/>
    <x v="10"/>
    <n v="3"/>
    <n v="45400"/>
    <n v="7.0000000000000007E-2"/>
    <x v="0"/>
    <x v="0"/>
    <n v="136200"/>
    <n v="9534"/>
    <n v="126666"/>
  </r>
  <r>
    <s v="ORD-00050"/>
    <x v="46"/>
    <x v="28"/>
    <x v="1"/>
    <x v="33"/>
    <x v="1"/>
    <x v="4"/>
    <x v="14"/>
    <n v="6"/>
    <n v="27600"/>
    <n v="0.05"/>
    <x v="1"/>
    <x v="1"/>
    <n v="165600"/>
    <n v="8280"/>
    <n v="157320"/>
  </r>
  <r>
    <s v="ORD-00051"/>
    <x v="47"/>
    <x v="29"/>
    <x v="1"/>
    <x v="34"/>
    <x v="0"/>
    <x v="3"/>
    <x v="4"/>
    <n v="10"/>
    <n v="185900"/>
    <n v="0.15"/>
    <x v="2"/>
    <x v="6"/>
    <n v="1859000"/>
    <n v="278850"/>
    <n v="1580150"/>
  </r>
  <r>
    <s v="ORD-00052"/>
    <x v="48"/>
    <x v="4"/>
    <x v="0"/>
    <x v="25"/>
    <x v="2"/>
    <x v="1"/>
    <x v="10"/>
    <n v="5"/>
    <n v="47800"/>
    <n v="0.02"/>
    <x v="1"/>
    <x v="5"/>
    <n v="239000"/>
    <n v="4780"/>
    <n v="234220"/>
  </r>
  <r>
    <s v="ORD-00053"/>
    <x v="49"/>
    <x v="8"/>
    <x v="0"/>
    <x v="35"/>
    <x v="2"/>
    <x v="0"/>
    <x v="18"/>
    <n v="6"/>
    <n v="3500"/>
    <n v="0"/>
    <x v="2"/>
    <x v="0"/>
    <n v="21000"/>
    <n v="0"/>
    <n v="21000"/>
  </r>
  <r>
    <s v="ORD-00054"/>
    <x v="50"/>
    <x v="20"/>
    <x v="1"/>
    <x v="17"/>
    <x v="2"/>
    <x v="4"/>
    <x v="5"/>
    <n v="3"/>
    <n v="204200"/>
    <n v="0.2"/>
    <x v="1"/>
    <x v="7"/>
    <n v="612600"/>
    <n v="122520"/>
    <n v="490080"/>
  </r>
  <r>
    <s v="ORD-00055"/>
    <x v="29"/>
    <x v="8"/>
    <x v="0"/>
    <x v="31"/>
    <x v="5"/>
    <x v="4"/>
    <x v="14"/>
    <n v="4"/>
    <n v="20300"/>
    <n v="0.02"/>
    <x v="2"/>
    <x v="0"/>
    <n v="81200"/>
    <n v="1624"/>
    <n v="79576"/>
  </r>
  <r>
    <s v="ORD-00056"/>
    <x v="51"/>
    <x v="1"/>
    <x v="0"/>
    <x v="13"/>
    <x v="4"/>
    <x v="5"/>
    <x v="21"/>
    <n v="1"/>
    <n v="15500"/>
    <n v="0.18"/>
    <x v="2"/>
    <x v="8"/>
    <n v="15500"/>
    <n v="2790"/>
    <n v="12710"/>
  </r>
  <r>
    <s v="ORD-00057"/>
    <x v="52"/>
    <x v="2"/>
    <x v="1"/>
    <x v="22"/>
    <x v="0"/>
    <x v="0"/>
    <x v="12"/>
    <n v="5"/>
    <n v="12900"/>
    <n v="0.2"/>
    <x v="0"/>
    <x v="3"/>
    <n v="64500"/>
    <n v="12900"/>
    <n v="51600"/>
  </r>
  <r>
    <s v="ORD-00058"/>
    <x v="8"/>
    <x v="24"/>
    <x v="1"/>
    <x v="29"/>
    <x v="2"/>
    <x v="4"/>
    <x v="19"/>
    <n v="4"/>
    <n v="43200"/>
    <n v="0.18"/>
    <x v="1"/>
    <x v="0"/>
    <n v="172800"/>
    <n v="31104"/>
    <n v="141696"/>
  </r>
  <r>
    <s v="ORD-00059"/>
    <x v="53"/>
    <x v="0"/>
    <x v="0"/>
    <x v="16"/>
    <x v="0"/>
    <x v="1"/>
    <x v="1"/>
    <n v="4"/>
    <n v="52700"/>
    <n v="0.1"/>
    <x v="1"/>
    <x v="1"/>
    <n v="210800"/>
    <n v="21080"/>
    <n v="189720"/>
  </r>
  <r>
    <s v="ORD-00060"/>
    <x v="54"/>
    <x v="30"/>
    <x v="0"/>
    <x v="36"/>
    <x v="4"/>
    <x v="0"/>
    <x v="16"/>
    <n v="9"/>
    <n v="59400"/>
    <n v="0.12"/>
    <x v="2"/>
    <x v="0"/>
    <n v="534600"/>
    <n v="64152"/>
    <n v="470448"/>
  </r>
  <r>
    <s v="ORD-00061"/>
    <x v="55"/>
    <x v="31"/>
    <x v="0"/>
    <x v="37"/>
    <x v="1"/>
    <x v="3"/>
    <x v="15"/>
    <n v="2"/>
    <n v="18300"/>
    <n v="0.2"/>
    <x v="1"/>
    <x v="8"/>
    <n v="36600"/>
    <n v="7320"/>
    <n v="29280"/>
  </r>
  <r>
    <s v="ORD-00062"/>
    <x v="56"/>
    <x v="2"/>
    <x v="1"/>
    <x v="38"/>
    <x v="5"/>
    <x v="0"/>
    <x v="12"/>
    <n v="4"/>
    <n v="8800"/>
    <n v="0.1"/>
    <x v="0"/>
    <x v="2"/>
    <n v="35200"/>
    <n v="3520"/>
    <n v="31680"/>
  </r>
  <r>
    <s v="ORD-00063"/>
    <x v="57"/>
    <x v="31"/>
    <x v="0"/>
    <x v="39"/>
    <x v="2"/>
    <x v="5"/>
    <x v="13"/>
    <n v="1"/>
    <n v="17000"/>
    <n v="0"/>
    <x v="1"/>
    <x v="7"/>
    <n v="17000"/>
    <n v="0"/>
    <n v="17000"/>
  </r>
  <r>
    <s v="ORD-00064"/>
    <x v="58"/>
    <x v="32"/>
    <x v="0"/>
    <x v="40"/>
    <x v="5"/>
    <x v="3"/>
    <x v="4"/>
    <n v="8"/>
    <n v="182300"/>
    <n v="0.18"/>
    <x v="2"/>
    <x v="2"/>
    <n v="1458400"/>
    <n v="262512"/>
    <n v="1195888"/>
  </r>
  <r>
    <s v="ORD-00065"/>
    <x v="59"/>
    <x v="12"/>
    <x v="1"/>
    <x v="37"/>
    <x v="5"/>
    <x v="3"/>
    <x v="4"/>
    <n v="8"/>
    <n v="197500"/>
    <n v="0.02"/>
    <x v="1"/>
    <x v="5"/>
    <n v="1580000"/>
    <n v="31600"/>
    <n v="1548400"/>
  </r>
  <r>
    <s v="ORD-00066"/>
    <x v="60"/>
    <x v="16"/>
    <x v="1"/>
    <x v="33"/>
    <x v="0"/>
    <x v="3"/>
    <x v="15"/>
    <n v="9"/>
    <n v="11900"/>
    <n v="0.15"/>
    <x v="1"/>
    <x v="1"/>
    <n v="107100"/>
    <n v="16065"/>
    <n v="91035"/>
  </r>
  <r>
    <s v="ORD-00067"/>
    <x v="61"/>
    <x v="33"/>
    <x v="1"/>
    <x v="15"/>
    <x v="5"/>
    <x v="4"/>
    <x v="19"/>
    <n v="10"/>
    <n v="34700"/>
    <n v="0.15"/>
    <x v="2"/>
    <x v="1"/>
    <n v="347000"/>
    <n v="52050"/>
    <n v="294950"/>
  </r>
  <r>
    <s v="ORD-00068"/>
    <x v="62"/>
    <x v="12"/>
    <x v="1"/>
    <x v="41"/>
    <x v="2"/>
    <x v="3"/>
    <x v="15"/>
    <n v="5"/>
    <n v="14900"/>
    <n v="0.02"/>
    <x v="0"/>
    <x v="6"/>
    <n v="74500"/>
    <n v="1490"/>
    <n v="73010"/>
  </r>
  <r>
    <s v="ORD-00069"/>
    <x v="63"/>
    <x v="34"/>
    <x v="1"/>
    <x v="14"/>
    <x v="1"/>
    <x v="3"/>
    <x v="7"/>
    <n v="10"/>
    <n v="15700"/>
    <n v="0.18"/>
    <x v="2"/>
    <x v="5"/>
    <n v="157000"/>
    <n v="28260"/>
    <n v="128740"/>
  </r>
  <r>
    <s v="ORD-00070"/>
    <x v="64"/>
    <x v="26"/>
    <x v="1"/>
    <x v="12"/>
    <x v="0"/>
    <x v="2"/>
    <x v="6"/>
    <n v="4"/>
    <n v="3800"/>
    <n v="0.1"/>
    <x v="1"/>
    <x v="1"/>
    <n v="15200"/>
    <n v="1520"/>
    <n v="13680"/>
  </r>
  <r>
    <s v="ORD-00071"/>
    <x v="65"/>
    <x v="6"/>
    <x v="1"/>
    <x v="35"/>
    <x v="3"/>
    <x v="5"/>
    <x v="13"/>
    <n v="5"/>
    <n v="12900"/>
    <n v="0.05"/>
    <x v="0"/>
    <x v="5"/>
    <n v="64500"/>
    <n v="3225"/>
    <n v="61275"/>
  </r>
  <r>
    <s v="ORD-00072"/>
    <x v="66"/>
    <x v="31"/>
    <x v="0"/>
    <x v="42"/>
    <x v="2"/>
    <x v="5"/>
    <x v="22"/>
    <n v="2"/>
    <n v="4800"/>
    <n v="0.18"/>
    <x v="1"/>
    <x v="7"/>
    <n v="9600"/>
    <n v="1728"/>
    <n v="7872"/>
  </r>
  <r>
    <s v="ORD-00073"/>
    <x v="67"/>
    <x v="22"/>
    <x v="0"/>
    <x v="4"/>
    <x v="4"/>
    <x v="5"/>
    <x v="21"/>
    <n v="2"/>
    <n v="17200"/>
    <n v="0"/>
    <x v="2"/>
    <x v="2"/>
    <n v="34400"/>
    <n v="0"/>
    <n v="34400"/>
  </r>
  <r>
    <s v="ORD-00074"/>
    <x v="68"/>
    <x v="21"/>
    <x v="0"/>
    <x v="32"/>
    <x v="3"/>
    <x v="1"/>
    <x v="10"/>
    <n v="5"/>
    <n v="50100"/>
    <n v="0"/>
    <x v="0"/>
    <x v="0"/>
    <n v="250500"/>
    <n v="0"/>
    <n v="250500"/>
  </r>
  <r>
    <s v="ORD-00075"/>
    <x v="69"/>
    <x v="7"/>
    <x v="0"/>
    <x v="2"/>
    <x v="0"/>
    <x v="1"/>
    <x v="1"/>
    <n v="8"/>
    <n v="50800"/>
    <n v="0.02"/>
    <x v="2"/>
    <x v="2"/>
    <n v="406400"/>
    <n v="8128"/>
    <n v="398272"/>
  </r>
  <r>
    <s v="ORD-00076"/>
    <x v="70"/>
    <x v="35"/>
    <x v="0"/>
    <x v="27"/>
    <x v="2"/>
    <x v="3"/>
    <x v="15"/>
    <n v="7"/>
    <n v="18800"/>
    <n v="0.18"/>
    <x v="2"/>
    <x v="9"/>
    <n v="131600"/>
    <n v="23688"/>
    <n v="107912"/>
  </r>
  <r>
    <s v="ORD-00077"/>
    <x v="9"/>
    <x v="17"/>
    <x v="0"/>
    <x v="13"/>
    <x v="3"/>
    <x v="0"/>
    <x v="12"/>
    <n v="2"/>
    <n v="10600"/>
    <n v="0.15"/>
    <x v="1"/>
    <x v="5"/>
    <n v="21200"/>
    <n v="3180"/>
    <n v="18020"/>
  </r>
  <r>
    <s v="ORD-00078"/>
    <x v="71"/>
    <x v="8"/>
    <x v="0"/>
    <x v="13"/>
    <x v="5"/>
    <x v="3"/>
    <x v="15"/>
    <n v="6"/>
    <n v="25000"/>
    <n v="0.18"/>
    <x v="1"/>
    <x v="0"/>
    <n v="150000"/>
    <n v="27000"/>
    <n v="123000"/>
  </r>
  <r>
    <s v="ORD-00079"/>
    <x v="72"/>
    <x v="2"/>
    <x v="1"/>
    <x v="4"/>
    <x v="4"/>
    <x v="1"/>
    <x v="11"/>
    <n v="8"/>
    <n v="127400"/>
    <n v="0.02"/>
    <x v="0"/>
    <x v="1"/>
    <n v="1019200"/>
    <n v="20384"/>
    <n v="998816"/>
  </r>
  <r>
    <s v="ORD-00080"/>
    <x v="73"/>
    <x v="36"/>
    <x v="0"/>
    <x v="34"/>
    <x v="0"/>
    <x v="5"/>
    <x v="8"/>
    <n v="7"/>
    <n v="4800"/>
    <n v="0.02"/>
    <x v="0"/>
    <x v="4"/>
    <n v="33600"/>
    <n v="672"/>
    <n v="32928"/>
  </r>
  <r>
    <s v="ORD-00081"/>
    <x v="74"/>
    <x v="28"/>
    <x v="1"/>
    <x v="6"/>
    <x v="1"/>
    <x v="4"/>
    <x v="14"/>
    <n v="5"/>
    <n v="23300"/>
    <n v="0.15"/>
    <x v="2"/>
    <x v="0"/>
    <n v="116500"/>
    <n v="17475"/>
    <n v="99025"/>
  </r>
  <r>
    <s v="ORD-00082"/>
    <x v="51"/>
    <x v="37"/>
    <x v="1"/>
    <x v="36"/>
    <x v="1"/>
    <x v="4"/>
    <x v="5"/>
    <n v="9"/>
    <n v="247100"/>
    <n v="0.05"/>
    <x v="0"/>
    <x v="7"/>
    <n v="2223900"/>
    <n v="111195"/>
    <n v="2112705"/>
  </r>
  <r>
    <s v="ORD-00083"/>
    <x v="39"/>
    <x v="35"/>
    <x v="0"/>
    <x v="10"/>
    <x v="0"/>
    <x v="3"/>
    <x v="23"/>
    <n v="10"/>
    <n v="99100"/>
    <n v="0.18"/>
    <x v="0"/>
    <x v="0"/>
    <n v="991000"/>
    <n v="178380"/>
    <n v="812620"/>
  </r>
  <r>
    <s v="ORD-00084"/>
    <x v="75"/>
    <x v="30"/>
    <x v="0"/>
    <x v="22"/>
    <x v="0"/>
    <x v="5"/>
    <x v="21"/>
    <n v="6"/>
    <n v="17500"/>
    <n v="7.0000000000000007E-2"/>
    <x v="1"/>
    <x v="6"/>
    <n v="105000"/>
    <n v="7350.0000000000009"/>
    <n v="97650"/>
  </r>
  <r>
    <s v="ORD-00085"/>
    <x v="76"/>
    <x v="27"/>
    <x v="1"/>
    <x v="3"/>
    <x v="5"/>
    <x v="3"/>
    <x v="23"/>
    <n v="7"/>
    <n v="122000"/>
    <n v="0.15"/>
    <x v="1"/>
    <x v="8"/>
    <n v="854000"/>
    <n v="128100"/>
    <n v="725900"/>
  </r>
  <r>
    <s v="ORD-00086"/>
    <x v="33"/>
    <x v="17"/>
    <x v="0"/>
    <x v="43"/>
    <x v="4"/>
    <x v="5"/>
    <x v="22"/>
    <n v="2"/>
    <n v="6600"/>
    <n v="0.18"/>
    <x v="0"/>
    <x v="3"/>
    <n v="13200"/>
    <n v="2376"/>
    <n v="10824"/>
  </r>
  <r>
    <s v="ORD-00087"/>
    <x v="77"/>
    <x v="14"/>
    <x v="1"/>
    <x v="9"/>
    <x v="1"/>
    <x v="4"/>
    <x v="5"/>
    <n v="8"/>
    <n v="109600"/>
    <n v="0.1"/>
    <x v="2"/>
    <x v="1"/>
    <n v="876800"/>
    <n v="87680"/>
    <n v="789120"/>
  </r>
  <r>
    <s v="ORD-00088"/>
    <x v="78"/>
    <x v="22"/>
    <x v="0"/>
    <x v="6"/>
    <x v="3"/>
    <x v="0"/>
    <x v="16"/>
    <n v="8"/>
    <n v="45400"/>
    <n v="0.2"/>
    <x v="0"/>
    <x v="1"/>
    <n v="363200"/>
    <n v="72640"/>
    <n v="290560"/>
  </r>
  <r>
    <s v="ORD-00089"/>
    <x v="1"/>
    <x v="5"/>
    <x v="1"/>
    <x v="40"/>
    <x v="2"/>
    <x v="0"/>
    <x v="0"/>
    <n v="2"/>
    <n v="3000"/>
    <n v="0.15"/>
    <x v="0"/>
    <x v="4"/>
    <n v="6000"/>
    <n v="900"/>
    <n v="5100"/>
  </r>
  <r>
    <s v="ORD-00090"/>
    <x v="79"/>
    <x v="18"/>
    <x v="0"/>
    <x v="25"/>
    <x v="0"/>
    <x v="3"/>
    <x v="4"/>
    <n v="1"/>
    <n v="187500"/>
    <n v="0.1"/>
    <x v="2"/>
    <x v="2"/>
    <n v="187500"/>
    <n v="18750"/>
    <n v="168750"/>
  </r>
  <r>
    <s v="ORD-00091"/>
    <x v="80"/>
    <x v="16"/>
    <x v="1"/>
    <x v="29"/>
    <x v="4"/>
    <x v="4"/>
    <x v="5"/>
    <n v="3"/>
    <n v="134600"/>
    <n v="0.02"/>
    <x v="1"/>
    <x v="9"/>
    <n v="403800"/>
    <n v="8076"/>
    <n v="395724"/>
  </r>
  <r>
    <s v="ORD-00092"/>
    <x v="62"/>
    <x v="19"/>
    <x v="1"/>
    <x v="29"/>
    <x v="5"/>
    <x v="5"/>
    <x v="13"/>
    <n v="8"/>
    <n v="15600"/>
    <n v="0.1"/>
    <x v="2"/>
    <x v="7"/>
    <n v="124800"/>
    <n v="12480"/>
    <n v="112320"/>
  </r>
  <r>
    <s v="ORD-00093"/>
    <x v="81"/>
    <x v="14"/>
    <x v="1"/>
    <x v="13"/>
    <x v="0"/>
    <x v="2"/>
    <x v="2"/>
    <n v="8"/>
    <n v="3200"/>
    <n v="0.12"/>
    <x v="1"/>
    <x v="7"/>
    <n v="25600"/>
    <n v="3072"/>
    <n v="22528"/>
  </r>
  <r>
    <s v="ORD-00094"/>
    <x v="82"/>
    <x v="20"/>
    <x v="1"/>
    <x v="25"/>
    <x v="0"/>
    <x v="4"/>
    <x v="14"/>
    <n v="7"/>
    <n v="18300"/>
    <n v="0.18"/>
    <x v="0"/>
    <x v="6"/>
    <n v="128100"/>
    <n v="23058"/>
    <n v="105042"/>
  </r>
  <r>
    <s v="ORD-00095"/>
    <x v="83"/>
    <x v="23"/>
    <x v="1"/>
    <x v="22"/>
    <x v="4"/>
    <x v="0"/>
    <x v="12"/>
    <n v="7"/>
    <n v="8200"/>
    <n v="0.1"/>
    <x v="0"/>
    <x v="1"/>
    <n v="57400"/>
    <n v="5740"/>
    <n v="51660"/>
  </r>
  <r>
    <s v="ORD-00096"/>
    <x v="84"/>
    <x v="29"/>
    <x v="1"/>
    <x v="38"/>
    <x v="3"/>
    <x v="5"/>
    <x v="21"/>
    <n v="4"/>
    <n v="14700"/>
    <n v="0.12"/>
    <x v="0"/>
    <x v="6"/>
    <n v="58800"/>
    <n v="7056"/>
    <n v="51744"/>
  </r>
  <r>
    <s v="ORD-00097"/>
    <x v="62"/>
    <x v="21"/>
    <x v="0"/>
    <x v="44"/>
    <x v="2"/>
    <x v="2"/>
    <x v="2"/>
    <n v="2"/>
    <n v="4300"/>
    <n v="0"/>
    <x v="2"/>
    <x v="0"/>
    <n v="8600"/>
    <n v="0"/>
    <n v="8600"/>
  </r>
  <r>
    <s v="ORD-00098"/>
    <x v="85"/>
    <x v="4"/>
    <x v="0"/>
    <x v="17"/>
    <x v="2"/>
    <x v="1"/>
    <x v="10"/>
    <n v="5"/>
    <n v="54800"/>
    <n v="0.12"/>
    <x v="1"/>
    <x v="9"/>
    <n v="274000"/>
    <n v="32880"/>
    <n v="241120"/>
  </r>
  <r>
    <s v="ORD-00099"/>
    <x v="86"/>
    <x v="6"/>
    <x v="1"/>
    <x v="43"/>
    <x v="4"/>
    <x v="0"/>
    <x v="12"/>
    <n v="3"/>
    <n v="14800"/>
    <n v="0.1"/>
    <x v="2"/>
    <x v="7"/>
    <n v="44400"/>
    <n v="4440"/>
    <n v="39960"/>
  </r>
  <r>
    <s v="ORD-00100"/>
    <x v="87"/>
    <x v="28"/>
    <x v="1"/>
    <x v="13"/>
    <x v="3"/>
    <x v="1"/>
    <x v="3"/>
    <n v="7"/>
    <n v="178600"/>
    <n v="0.2"/>
    <x v="2"/>
    <x v="4"/>
    <n v="1250200"/>
    <n v="250040"/>
    <n v="1000160"/>
  </r>
  <r>
    <s v="ORD-00101"/>
    <x v="88"/>
    <x v="14"/>
    <x v="1"/>
    <x v="37"/>
    <x v="4"/>
    <x v="3"/>
    <x v="7"/>
    <n v="5"/>
    <n v="15000"/>
    <n v="0.15"/>
    <x v="1"/>
    <x v="2"/>
    <n v="75000"/>
    <n v="11250"/>
    <n v="63750"/>
  </r>
  <r>
    <s v="ORD-00102"/>
    <x v="89"/>
    <x v="19"/>
    <x v="1"/>
    <x v="3"/>
    <x v="5"/>
    <x v="3"/>
    <x v="23"/>
    <n v="4"/>
    <n v="140000"/>
    <n v="0.02"/>
    <x v="1"/>
    <x v="0"/>
    <n v="560000"/>
    <n v="11200"/>
    <n v="548800"/>
  </r>
  <r>
    <s v="ORD-00103"/>
    <x v="67"/>
    <x v="31"/>
    <x v="0"/>
    <x v="6"/>
    <x v="5"/>
    <x v="3"/>
    <x v="15"/>
    <n v="1"/>
    <n v="9500"/>
    <n v="0.1"/>
    <x v="2"/>
    <x v="4"/>
    <n v="9500"/>
    <n v="950"/>
    <n v="8550"/>
  </r>
  <r>
    <s v="ORD-00104"/>
    <x v="90"/>
    <x v="5"/>
    <x v="1"/>
    <x v="1"/>
    <x v="1"/>
    <x v="4"/>
    <x v="19"/>
    <n v="9"/>
    <n v="37200"/>
    <n v="0.15"/>
    <x v="1"/>
    <x v="8"/>
    <n v="334800"/>
    <n v="50220"/>
    <n v="284580"/>
  </r>
  <r>
    <s v="ORD-00105"/>
    <x v="39"/>
    <x v="7"/>
    <x v="0"/>
    <x v="5"/>
    <x v="5"/>
    <x v="5"/>
    <x v="21"/>
    <n v="1"/>
    <n v="14600"/>
    <n v="0.12"/>
    <x v="0"/>
    <x v="0"/>
    <n v="14600"/>
    <n v="1752"/>
    <n v="12848"/>
  </r>
  <r>
    <s v="ORD-00106"/>
    <x v="79"/>
    <x v="5"/>
    <x v="1"/>
    <x v="17"/>
    <x v="3"/>
    <x v="2"/>
    <x v="9"/>
    <n v="6"/>
    <n v="4200"/>
    <n v="0"/>
    <x v="2"/>
    <x v="7"/>
    <n v="25200"/>
    <n v="0"/>
    <n v="25200"/>
  </r>
  <r>
    <s v="ORD-00107"/>
    <x v="8"/>
    <x v="28"/>
    <x v="1"/>
    <x v="13"/>
    <x v="3"/>
    <x v="2"/>
    <x v="2"/>
    <n v="10"/>
    <n v="4300"/>
    <n v="0"/>
    <x v="0"/>
    <x v="2"/>
    <n v="43000"/>
    <n v="0"/>
    <n v="43000"/>
  </r>
  <r>
    <s v="ORD-00108"/>
    <x v="51"/>
    <x v="32"/>
    <x v="0"/>
    <x v="33"/>
    <x v="1"/>
    <x v="3"/>
    <x v="15"/>
    <n v="4"/>
    <n v="15100"/>
    <n v="0.12"/>
    <x v="0"/>
    <x v="1"/>
    <n v="60400"/>
    <n v="7248"/>
    <n v="53152"/>
  </r>
  <r>
    <s v="ORD-00109"/>
    <x v="91"/>
    <x v="38"/>
    <x v="0"/>
    <x v="30"/>
    <x v="1"/>
    <x v="5"/>
    <x v="22"/>
    <n v="3"/>
    <n v="6300"/>
    <n v="0.02"/>
    <x v="1"/>
    <x v="5"/>
    <n v="18900"/>
    <n v="378"/>
    <n v="18522"/>
  </r>
  <r>
    <s v="ORD-00110"/>
    <x v="16"/>
    <x v="14"/>
    <x v="1"/>
    <x v="22"/>
    <x v="1"/>
    <x v="5"/>
    <x v="22"/>
    <n v="3"/>
    <n v="3100"/>
    <n v="0.1"/>
    <x v="0"/>
    <x v="8"/>
    <n v="9300"/>
    <n v="930"/>
    <n v="8370"/>
  </r>
  <r>
    <s v="ORD-00111"/>
    <x v="92"/>
    <x v="3"/>
    <x v="1"/>
    <x v="0"/>
    <x v="2"/>
    <x v="3"/>
    <x v="7"/>
    <n v="6"/>
    <n v="15700"/>
    <n v="0.2"/>
    <x v="1"/>
    <x v="4"/>
    <n v="94200"/>
    <n v="18840"/>
    <n v="75360"/>
  </r>
  <r>
    <s v="ORD-00112"/>
    <x v="93"/>
    <x v="39"/>
    <x v="1"/>
    <x v="3"/>
    <x v="4"/>
    <x v="3"/>
    <x v="23"/>
    <n v="1"/>
    <n v="120000"/>
    <n v="0"/>
    <x v="2"/>
    <x v="9"/>
    <n v="120000"/>
    <n v="0"/>
    <n v="120000"/>
  </r>
  <r>
    <s v="ORD-00113"/>
    <x v="94"/>
    <x v="19"/>
    <x v="1"/>
    <x v="5"/>
    <x v="5"/>
    <x v="2"/>
    <x v="6"/>
    <n v="2"/>
    <n v="3800"/>
    <n v="0.12"/>
    <x v="1"/>
    <x v="8"/>
    <n v="7600"/>
    <n v="912"/>
    <n v="6688"/>
  </r>
  <r>
    <s v="ORD-00114"/>
    <x v="95"/>
    <x v="32"/>
    <x v="0"/>
    <x v="4"/>
    <x v="4"/>
    <x v="2"/>
    <x v="9"/>
    <n v="10"/>
    <n v="3600"/>
    <n v="0.2"/>
    <x v="2"/>
    <x v="0"/>
    <n v="36000"/>
    <n v="7200"/>
    <n v="28800"/>
  </r>
  <r>
    <s v="ORD-00115"/>
    <x v="96"/>
    <x v="25"/>
    <x v="1"/>
    <x v="35"/>
    <x v="3"/>
    <x v="2"/>
    <x v="20"/>
    <n v="9"/>
    <n v="2400"/>
    <n v="7.0000000000000007E-2"/>
    <x v="2"/>
    <x v="0"/>
    <n v="21600"/>
    <n v="1512.0000000000002"/>
    <n v="20088"/>
  </r>
  <r>
    <s v="ORD-00116"/>
    <x v="97"/>
    <x v="40"/>
    <x v="1"/>
    <x v="24"/>
    <x v="5"/>
    <x v="4"/>
    <x v="19"/>
    <n v="6"/>
    <n v="28100"/>
    <n v="0.15"/>
    <x v="2"/>
    <x v="7"/>
    <n v="168600"/>
    <n v="25290"/>
    <n v="143310"/>
  </r>
  <r>
    <s v="ORD-00117"/>
    <x v="98"/>
    <x v="16"/>
    <x v="1"/>
    <x v="44"/>
    <x v="5"/>
    <x v="3"/>
    <x v="4"/>
    <n v="2"/>
    <n v="156200"/>
    <n v="0.15"/>
    <x v="0"/>
    <x v="2"/>
    <n v="312400"/>
    <n v="46860"/>
    <n v="265540"/>
  </r>
  <r>
    <s v="ORD-00118"/>
    <x v="99"/>
    <x v="34"/>
    <x v="1"/>
    <x v="7"/>
    <x v="4"/>
    <x v="5"/>
    <x v="22"/>
    <n v="2"/>
    <n v="5700"/>
    <n v="0.15"/>
    <x v="2"/>
    <x v="9"/>
    <n v="11400"/>
    <n v="1710"/>
    <n v="9690"/>
  </r>
  <r>
    <s v="ORD-00119"/>
    <x v="72"/>
    <x v="26"/>
    <x v="1"/>
    <x v="42"/>
    <x v="0"/>
    <x v="0"/>
    <x v="18"/>
    <n v="9"/>
    <n v="3700"/>
    <n v="7.0000000000000007E-2"/>
    <x v="0"/>
    <x v="0"/>
    <n v="33300"/>
    <n v="2331"/>
    <n v="30969"/>
  </r>
  <r>
    <s v="ORD-00120"/>
    <x v="25"/>
    <x v="9"/>
    <x v="1"/>
    <x v="22"/>
    <x v="4"/>
    <x v="0"/>
    <x v="18"/>
    <n v="10"/>
    <n v="3100"/>
    <n v="7.0000000000000007E-2"/>
    <x v="2"/>
    <x v="3"/>
    <n v="31000"/>
    <n v="2170"/>
    <n v="28830"/>
  </r>
  <r>
    <s v="ORD-00121"/>
    <x v="100"/>
    <x v="41"/>
    <x v="0"/>
    <x v="44"/>
    <x v="2"/>
    <x v="5"/>
    <x v="8"/>
    <n v="5"/>
    <n v="5000"/>
    <n v="0"/>
    <x v="0"/>
    <x v="7"/>
    <n v="25000"/>
    <n v="0"/>
    <n v="25000"/>
  </r>
  <r>
    <s v="ORD-00122"/>
    <x v="24"/>
    <x v="1"/>
    <x v="0"/>
    <x v="26"/>
    <x v="0"/>
    <x v="0"/>
    <x v="18"/>
    <n v="3"/>
    <n v="2900"/>
    <n v="0.15"/>
    <x v="0"/>
    <x v="8"/>
    <n v="8700"/>
    <n v="1305"/>
    <n v="7395"/>
  </r>
  <r>
    <s v="ORD-00123"/>
    <x v="101"/>
    <x v="0"/>
    <x v="0"/>
    <x v="16"/>
    <x v="2"/>
    <x v="5"/>
    <x v="13"/>
    <n v="7"/>
    <n v="20300"/>
    <n v="0.18"/>
    <x v="2"/>
    <x v="8"/>
    <n v="142100"/>
    <n v="25578"/>
    <n v="116522"/>
  </r>
  <r>
    <s v="ORD-00124"/>
    <x v="102"/>
    <x v="31"/>
    <x v="0"/>
    <x v="9"/>
    <x v="0"/>
    <x v="5"/>
    <x v="8"/>
    <n v="3"/>
    <n v="2700"/>
    <n v="0.05"/>
    <x v="1"/>
    <x v="5"/>
    <n v="8100"/>
    <n v="405"/>
    <n v="7695"/>
  </r>
  <r>
    <s v="ORD-00125"/>
    <x v="103"/>
    <x v="24"/>
    <x v="1"/>
    <x v="4"/>
    <x v="5"/>
    <x v="2"/>
    <x v="6"/>
    <n v="10"/>
    <n v="5500"/>
    <n v="0.18"/>
    <x v="2"/>
    <x v="7"/>
    <n v="55000"/>
    <n v="9900"/>
    <n v="45100"/>
  </r>
  <r>
    <s v="ORD-00126"/>
    <x v="104"/>
    <x v="1"/>
    <x v="0"/>
    <x v="10"/>
    <x v="3"/>
    <x v="0"/>
    <x v="16"/>
    <n v="5"/>
    <n v="38600"/>
    <n v="0.18"/>
    <x v="1"/>
    <x v="7"/>
    <n v="193000"/>
    <n v="34740"/>
    <n v="158260"/>
  </r>
  <r>
    <s v="ORD-00127"/>
    <x v="105"/>
    <x v="33"/>
    <x v="1"/>
    <x v="8"/>
    <x v="4"/>
    <x v="3"/>
    <x v="4"/>
    <n v="5"/>
    <n v="171800"/>
    <n v="7.0000000000000007E-2"/>
    <x v="0"/>
    <x v="7"/>
    <n v="859000"/>
    <n v="60130.000000000007"/>
    <n v="798870"/>
  </r>
  <r>
    <s v="ORD-00128"/>
    <x v="106"/>
    <x v="42"/>
    <x v="0"/>
    <x v="0"/>
    <x v="3"/>
    <x v="4"/>
    <x v="19"/>
    <n v="3"/>
    <n v="30800"/>
    <n v="0.15"/>
    <x v="1"/>
    <x v="6"/>
    <n v="92400"/>
    <n v="13860"/>
    <n v="78540"/>
  </r>
  <r>
    <s v="ORD-00129"/>
    <x v="107"/>
    <x v="34"/>
    <x v="1"/>
    <x v="21"/>
    <x v="0"/>
    <x v="3"/>
    <x v="7"/>
    <n v="1"/>
    <n v="19100"/>
    <n v="0.15"/>
    <x v="0"/>
    <x v="0"/>
    <n v="19100"/>
    <n v="2865"/>
    <n v="16235"/>
  </r>
  <r>
    <s v="ORD-00130"/>
    <x v="108"/>
    <x v="42"/>
    <x v="0"/>
    <x v="33"/>
    <x v="5"/>
    <x v="5"/>
    <x v="21"/>
    <n v="7"/>
    <n v="21600"/>
    <n v="0.1"/>
    <x v="0"/>
    <x v="9"/>
    <n v="151200"/>
    <n v="15120"/>
    <n v="136080"/>
  </r>
  <r>
    <s v="ORD-00131"/>
    <x v="109"/>
    <x v="42"/>
    <x v="0"/>
    <x v="34"/>
    <x v="4"/>
    <x v="4"/>
    <x v="14"/>
    <n v="7"/>
    <n v="16400"/>
    <n v="0.02"/>
    <x v="0"/>
    <x v="9"/>
    <n v="114800"/>
    <n v="2296"/>
    <n v="112504"/>
  </r>
  <r>
    <s v="ORD-00132"/>
    <x v="110"/>
    <x v="22"/>
    <x v="0"/>
    <x v="15"/>
    <x v="3"/>
    <x v="4"/>
    <x v="14"/>
    <n v="6"/>
    <n v="27200"/>
    <n v="7.0000000000000007E-2"/>
    <x v="2"/>
    <x v="8"/>
    <n v="163200"/>
    <n v="11424.000000000002"/>
    <n v="151776"/>
  </r>
  <r>
    <s v="ORD-00133"/>
    <x v="108"/>
    <x v="39"/>
    <x v="1"/>
    <x v="40"/>
    <x v="3"/>
    <x v="5"/>
    <x v="13"/>
    <n v="6"/>
    <n v="19400"/>
    <n v="0.05"/>
    <x v="0"/>
    <x v="4"/>
    <n v="116400"/>
    <n v="5820"/>
    <n v="110580"/>
  </r>
  <r>
    <s v="ORD-00134"/>
    <x v="111"/>
    <x v="21"/>
    <x v="0"/>
    <x v="45"/>
    <x v="1"/>
    <x v="5"/>
    <x v="13"/>
    <n v="3"/>
    <n v="10500"/>
    <n v="0.18"/>
    <x v="2"/>
    <x v="1"/>
    <n v="31500"/>
    <n v="5670"/>
    <n v="25830"/>
  </r>
  <r>
    <s v="ORD-00135"/>
    <x v="11"/>
    <x v="43"/>
    <x v="1"/>
    <x v="44"/>
    <x v="4"/>
    <x v="2"/>
    <x v="9"/>
    <n v="3"/>
    <n v="3300"/>
    <n v="0.18"/>
    <x v="0"/>
    <x v="0"/>
    <n v="9900"/>
    <n v="1782"/>
    <n v="8118"/>
  </r>
  <r>
    <s v="ORD-00136"/>
    <x v="112"/>
    <x v="44"/>
    <x v="1"/>
    <x v="26"/>
    <x v="0"/>
    <x v="5"/>
    <x v="8"/>
    <n v="9"/>
    <n v="3900"/>
    <n v="0.02"/>
    <x v="2"/>
    <x v="0"/>
    <n v="35100"/>
    <n v="702"/>
    <n v="34398"/>
  </r>
  <r>
    <s v="ORD-00137"/>
    <x v="93"/>
    <x v="17"/>
    <x v="0"/>
    <x v="7"/>
    <x v="0"/>
    <x v="0"/>
    <x v="18"/>
    <n v="2"/>
    <n v="3800"/>
    <n v="0.2"/>
    <x v="2"/>
    <x v="0"/>
    <n v="7600"/>
    <n v="1520"/>
    <n v="6080"/>
  </r>
  <r>
    <s v="ORD-00138"/>
    <x v="113"/>
    <x v="34"/>
    <x v="1"/>
    <x v="38"/>
    <x v="3"/>
    <x v="4"/>
    <x v="5"/>
    <n v="10"/>
    <n v="174300"/>
    <n v="0.18"/>
    <x v="1"/>
    <x v="8"/>
    <n v="1743000"/>
    <n v="313740"/>
    <n v="1429260"/>
  </r>
  <r>
    <s v="ORD-00139"/>
    <x v="114"/>
    <x v="43"/>
    <x v="1"/>
    <x v="5"/>
    <x v="0"/>
    <x v="2"/>
    <x v="20"/>
    <n v="3"/>
    <n v="2000"/>
    <n v="0"/>
    <x v="0"/>
    <x v="0"/>
    <n v="6000"/>
    <n v="0"/>
    <n v="6000"/>
  </r>
  <r>
    <s v="ORD-00140"/>
    <x v="3"/>
    <x v="3"/>
    <x v="1"/>
    <x v="15"/>
    <x v="4"/>
    <x v="1"/>
    <x v="11"/>
    <n v="5"/>
    <n v="118900"/>
    <n v="0.15"/>
    <x v="2"/>
    <x v="2"/>
    <n v="594500"/>
    <n v="89175"/>
    <n v="505325"/>
  </r>
  <r>
    <s v="ORD-00141"/>
    <x v="115"/>
    <x v="25"/>
    <x v="1"/>
    <x v="7"/>
    <x v="2"/>
    <x v="2"/>
    <x v="9"/>
    <n v="6"/>
    <n v="2300"/>
    <n v="0.02"/>
    <x v="1"/>
    <x v="9"/>
    <n v="13800"/>
    <n v="276"/>
    <n v="13524"/>
  </r>
  <r>
    <s v="ORD-00142"/>
    <x v="116"/>
    <x v="21"/>
    <x v="0"/>
    <x v="9"/>
    <x v="2"/>
    <x v="5"/>
    <x v="13"/>
    <n v="2"/>
    <n v="18900"/>
    <n v="0.05"/>
    <x v="2"/>
    <x v="7"/>
    <n v="37800"/>
    <n v="1890"/>
    <n v="35910"/>
  </r>
  <r>
    <s v="ORD-00143"/>
    <x v="117"/>
    <x v="10"/>
    <x v="0"/>
    <x v="21"/>
    <x v="5"/>
    <x v="1"/>
    <x v="10"/>
    <n v="9"/>
    <n v="35100"/>
    <n v="0.15"/>
    <x v="1"/>
    <x v="2"/>
    <n v="315900"/>
    <n v="47385"/>
    <n v="268515"/>
  </r>
  <r>
    <s v="ORD-00144"/>
    <x v="118"/>
    <x v="13"/>
    <x v="0"/>
    <x v="25"/>
    <x v="2"/>
    <x v="2"/>
    <x v="20"/>
    <n v="7"/>
    <n v="2200"/>
    <n v="0.2"/>
    <x v="2"/>
    <x v="5"/>
    <n v="15400"/>
    <n v="3080"/>
    <n v="12320"/>
  </r>
  <r>
    <s v="ORD-00145"/>
    <x v="119"/>
    <x v="31"/>
    <x v="0"/>
    <x v="19"/>
    <x v="1"/>
    <x v="0"/>
    <x v="16"/>
    <n v="4"/>
    <n v="41300"/>
    <n v="0.05"/>
    <x v="0"/>
    <x v="4"/>
    <n v="165200"/>
    <n v="8260"/>
    <n v="156940"/>
  </r>
  <r>
    <s v="ORD-00146"/>
    <x v="120"/>
    <x v="9"/>
    <x v="1"/>
    <x v="10"/>
    <x v="4"/>
    <x v="2"/>
    <x v="20"/>
    <n v="6"/>
    <n v="2200"/>
    <n v="0.05"/>
    <x v="1"/>
    <x v="9"/>
    <n v="13200"/>
    <n v="660"/>
    <n v="12540"/>
  </r>
  <r>
    <s v="ORD-00147"/>
    <x v="121"/>
    <x v="18"/>
    <x v="0"/>
    <x v="19"/>
    <x v="2"/>
    <x v="5"/>
    <x v="13"/>
    <n v="1"/>
    <n v="22300"/>
    <n v="0.15"/>
    <x v="2"/>
    <x v="6"/>
    <n v="22300"/>
    <n v="3345"/>
    <n v="18955"/>
  </r>
  <r>
    <s v="ORD-00148"/>
    <x v="79"/>
    <x v="41"/>
    <x v="0"/>
    <x v="28"/>
    <x v="2"/>
    <x v="4"/>
    <x v="5"/>
    <n v="4"/>
    <n v="230000"/>
    <n v="0.1"/>
    <x v="2"/>
    <x v="6"/>
    <n v="920000"/>
    <n v="92000"/>
    <n v="828000"/>
  </r>
  <r>
    <s v="ORD-00149"/>
    <x v="54"/>
    <x v="19"/>
    <x v="1"/>
    <x v="33"/>
    <x v="5"/>
    <x v="4"/>
    <x v="14"/>
    <n v="7"/>
    <n v="27700"/>
    <n v="0.2"/>
    <x v="1"/>
    <x v="9"/>
    <n v="193900"/>
    <n v="38780"/>
    <n v="155120"/>
  </r>
  <r>
    <s v="ORD-00150"/>
    <x v="20"/>
    <x v="6"/>
    <x v="1"/>
    <x v="42"/>
    <x v="1"/>
    <x v="0"/>
    <x v="18"/>
    <n v="8"/>
    <n v="3800"/>
    <n v="0.12"/>
    <x v="1"/>
    <x v="4"/>
    <n v="30400"/>
    <n v="3648"/>
    <n v="26752"/>
  </r>
  <r>
    <s v="ORD-00151"/>
    <x v="122"/>
    <x v="3"/>
    <x v="1"/>
    <x v="0"/>
    <x v="0"/>
    <x v="3"/>
    <x v="15"/>
    <n v="8"/>
    <n v="16900"/>
    <n v="0.2"/>
    <x v="0"/>
    <x v="9"/>
    <n v="135200"/>
    <n v="27040"/>
    <n v="108160"/>
  </r>
  <r>
    <s v="ORD-00152"/>
    <x v="123"/>
    <x v="33"/>
    <x v="1"/>
    <x v="2"/>
    <x v="0"/>
    <x v="3"/>
    <x v="7"/>
    <n v="7"/>
    <n v="12400"/>
    <n v="0.2"/>
    <x v="2"/>
    <x v="6"/>
    <n v="86800"/>
    <n v="17360"/>
    <n v="69440"/>
  </r>
  <r>
    <s v="ORD-00153"/>
    <x v="124"/>
    <x v="24"/>
    <x v="1"/>
    <x v="17"/>
    <x v="1"/>
    <x v="3"/>
    <x v="23"/>
    <n v="6"/>
    <n v="73000"/>
    <n v="0.05"/>
    <x v="0"/>
    <x v="5"/>
    <n v="438000"/>
    <n v="21900"/>
    <n v="416100"/>
  </r>
  <r>
    <s v="ORD-00154"/>
    <x v="125"/>
    <x v="30"/>
    <x v="0"/>
    <x v="25"/>
    <x v="1"/>
    <x v="2"/>
    <x v="6"/>
    <n v="10"/>
    <n v="5300"/>
    <n v="0"/>
    <x v="0"/>
    <x v="5"/>
    <n v="53000"/>
    <n v="0"/>
    <n v="53000"/>
  </r>
  <r>
    <s v="ORD-00155"/>
    <x v="126"/>
    <x v="2"/>
    <x v="1"/>
    <x v="30"/>
    <x v="4"/>
    <x v="2"/>
    <x v="6"/>
    <n v="5"/>
    <n v="4000"/>
    <n v="7.0000000000000007E-2"/>
    <x v="2"/>
    <x v="4"/>
    <n v="20000"/>
    <n v="1400.0000000000002"/>
    <n v="18600"/>
  </r>
  <r>
    <s v="ORD-00156"/>
    <x v="127"/>
    <x v="5"/>
    <x v="1"/>
    <x v="46"/>
    <x v="2"/>
    <x v="5"/>
    <x v="21"/>
    <n v="2"/>
    <n v="11000"/>
    <n v="0.18"/>
    <x v="1"/>
    <x v="3"/>
    <n v="22000"/>
    <n v="3960"/>
    <n v="18040"/>
  </r>
  <r>
    <s v="ORD-00157"/>
    <x v="128"/>
    <x v="44"/>
    <x v="1"/>
    <x v="10"/>
    <x v="4"/>
    <x v="1"/>
    <x v="3"/>
    <n v="7"/>
    <n v="128200"/>
    <n v="0"/>
    <x v="1"/>
    <x v="2"/>
    <n v="897400"/>
    <n v="0"/>
    <n v="897400"/>
  </r>
  <r>
    <s v="ORD-00158"/>
    <x v="129"/>
    <x v="23"/>
    <x v="1"/>
    <x v="46"/>
    <x v="1"/>
    <x v="2"/>
    <x v="20"/>
    <n v="6"/>
    <n v="2000"/>
    <n v="0.02"/>
    <x v="1"/>
    <x v="3"/>
    <n v="12000"/>
    <n v="240"/>
    <n v="11760"/>
  </r>
  <r>
    <s v="ORD-00159"/>
    <x v="130"/>
    <x v="39"/>
    <x v="1"/>
    <x v="36"/>
    <x v="3"/>
    <x v="4"/>
    <x v="19"/>
    <n v="7"/>
    <n v="26400"/>
    <n v="0.12"/>
    <x v="2"/>
    <x v="5"/>
    <n v="184800"/>
    <n v="22176"/>
    <n v="162624"/>
  </r>
  <r>
    <s v="ORD-00160"/>
    <x v="131"/>
    <x v="45"/>
    <x v="0"/>
    <x v="22"/>
    <x v="1"/>
    <x v="2"/>
    <x v="20"/>
    <n v="10"/>
    <n v="2300"/>
    <n v="0.12"/>
    <x v="0"/>
    <x v="5"/>
    <n v="23000"/>
    <n v="2760"/>
    <n v="20240"/>
  </r>
  <r>
    <s v="ORD-00161"/>
    <x v="132"/>
    <x v="8"/>
    <x v="0"/>
    <x v="24"/>
    <x v="2"/>
    <x v="1"/>
    <x v="1"/>
    <n v="8"/>
    <n v="52800"/>
    <n v="0.05"/>
    <x v="0"/>
    <x v="4"/>
    <n v="422400"/>
    <n v="21120"/>
    <n v="401280"/>
  </r>
  <r>
    <s v="ORD-00162"/>
    <x v="133"/>
    <x v="17"/>
    <x v="0"/>
    <x v="28"/>
    <x v="1"/>
    <x v="3"/>
    <x v="15"/>
    <n v="6"/>
    <n v="9400"/>
    <n v="0.1"/>
    <x v="1"/>
    <x v="9"/>
    <n v="56400"/>
    <n v="5640"/>
    <n v="50760"/>
  </r>
  <r>
    <s v="ORD-00163"/>
    <x v="134"/>
    <x v="30"/>
    <x v="0"/>
    <x v="37"/>
    <x v="3"/>
    <x v="2"/>
    <x v="2"/>
    <n v="6"/>
    <n v="3600"/>
    <n v="0"/>
    <x v="1"/>
    <x v="2"/>
    <n v="21600"/>
    <n v="0"/>
    <n v="21600"/>
  </r>
  <r>
    <s v="ORD-00164"/>
    <x v="135"/>
    <x v="28"/>
    <x v="1"/>
    <x v="17"/>
    <x v="5"/>
    <x v="4"/>
    <x v="19"/>
    <n v="6"/>
    <n v="37700"/>
    <n v="0.05"/>
    <x v="2"/>
    <x v="0"/>
    <n v="226200"/>
    <n v="11310"/>
    <n v="214890"/>
  </r>
  <r>
    <s v="ORD-00165"/>
    <x v="54"/>
    <x v="3"/>
    <x v="1"/>
    <x v="4"/>
    <x v="3"/>
    <x v="2"/>
    <x v="6"/>
    <n v="7"/>
    <n v="3800"/>
    <n v="0.05"/>
    <x v="1"/>
    <x v="7"/>
    <n v="26600"/>
    <n v="1330"/>
    <n v="25270"/>
  </r>
  <r>
    <s v="ORD-00166"/>
    <x v="136"/>
    <x v="9"/>
    <x v="1"/>
    <x v="16"/>
    <x v="0"/>
    <x v="2"/>
    <x v="9"/>
    <n v="8"/>
    <n v="3300"/>
    <n v="0.15"/>
    <x v="0"/>
    <x v="0"/>
    <n v="26400"/>
    <n v="3960"/>
    <n v="22440"/>
  </r>
  <r>
    <s v="ORD-00167"/>
    <x v="137"/>
    <x v="43"/>
    <x v="1"/>
    <x v="23"/>
    <x v="2"/>
    <x v="0"/>
    <x v="16"/>
    <n v="1"/>
    <n v="44000"/>
    <n v="0.02"/>
    <x v="1"/>
    <x v="9"/>
    <n v="44000"/>
    <n v="880"/>
    <n v="43120"/>
  </r>
  <r>
    <s v="ORD-00168"/>
    <x v="138"/>
    <x v="39"/>
    <x v="1"/>
    <x v="38"/>
    <x v="2"/>
    <x v="1"/>
    <x v="10"/>
    <n v="10"/>
    <n v="29700"/>
    <n v="0.18"/>
    <x v="0"/>
    <x v="8"/>
    <n v="297000"/>
    <n v="53460"/>
    <n v="243540"/>
  </r>
  <r>
    <s v="ORD-00169"/>
    <x v="139"/>
    <x v="5"/>
    <x v="1"/>
    <x v="6"/>
    <x v="0"/>
    <x v="0"/>
    <x v="16"/>
    <n v="1"/>
    <n v="53600"/>
    <n v="0.05"/>
    <x v="1"/>
    <x v="0"/>
    <n v="53600"/>
    <n v="2680"/>
    <n v="50920"/>
  </r>
  <r>
    <s v="ORD-00170"/>
    <x v="102"/>
    <x v="46"/>
    <x v="0"/>
    <x v="2"/>
    <x v="3"/>
    <x v="5"/>
    <x v="13"/>
    <n v="7"/>
    <n v="20000"/>
    <n v="0.12"/>
    <x v="1"/>
    <x v="7"/>
    <n v="140000"/>
    <n v="16800"/>
    <n v="123200"/>
  </r>
  <r>
    <s v="ORD-00171"/>
    <x v="140"/>
    <x v="28"/>
    <x v="1"/>
    <x v="32"/>
    <x v="2"/>
    <x v="1"/>
    <x v="1"/>
    <n v="7"/>
    <n v="47000"/>
    <n v="0.2"/>
    <x v="0"/>
    <x v="7"/>
    <n v="329000"/>
    <n v="65800"/>
    <n v="263200"/>
  </r>
  <r>
    <s v="ORD-00172"/>
    <x v="141"/>
    <x v="36"/>
    <x v="0"/>
    <x v="2"/>
    <x v="1"/>
    <x v="5"/>
    <x v="22"/>
    <n v="8"/>
    <n v="5800"/>
    <n v="7.0000000000000007E-2"/>
    <x v="0"/>
    <x v="8"/>
    <n v="46400"/>
    <n v="3248.0000000000005"/>
    <n v="43152"/>
  </r>
  <r>
    <s v="ORD-00173"/>
    <x v="15"/>
    <x v="43"/>
    <x v="1"/>
    <x v="19"/>
    <x v="2"/>
    <x v="4"/>
    <x v="17"/>
    <n v="6"/>
    <n v="428800"/>
    <n v="0.12"/>
    <x v="1"/>
    <x v="4"/>
    <n v="2572800"/>
    <n v="308736"/>
    <n v="2264064"/>
  </r>
  <r>
    <s v="ORD-00174"/>
    <x v="9"/>
    <x v="8"/>
    <x v="0"/>
    <x v="28"/>
    <x v="0"/>
    <x v="1"/>
    <x v="3"/>
    <n v="9"/>
    <n v="137400"/>
    <n v="7.0000000000000007E-2"/>
    <x v="0"/>
    <x v="6"/>
    <n v="1236600"/>
    <n v="86562.000000000015"/>
    <n v="1150038"/>
  </r>
  <r>
    <s v="ORD-00175"/>
    <x v="142"/>
    <x v="5"/>
    <x v="1"/>
    <x v="47"/>
    <x v="3"/>
    <x v="0"/>
    <x v="12"/>
    <n v="9"/>
    <n v="11800"/>
    <n v="0.05"/>
    <x v="1"/>
    <x v="4"/>
    <n v="106200"/>
    <n v="5310"/>
    <n v="100890"/>
  </r>
  <r>
    <s v="ORD-00176"/>
    <x v="95"/>
    <x v="31"/>
    <x v="0"/>
    <x v="8"/>
    <x v="2"/>
    <x v="2"/>
    <x v="6"/>
    <n v="7"/>
    <n v="5700"/>
    <n v="0.15"/>
    <x v="1"/>
    <x v="4"/>
    <n v="39900"/>
    <n v="5985"/>
    <n v="33915"/>
  </r>
  <r>
    <s v="ORD-00177"/>
    <x v="143"/>
    <x v="42"/>
    <x v="0"/>
    <x v="6"/>
    <x v="3"/>
    <x v="4"/>
    <x v="19"/>
    <n v="6"/>
    <n v="42000"/>
    <n v="0.05"/>
    <x v="1"/>
    <x v="1"/>
    <n v="252000"/>
    <n v="12600"/>
    <n v="239400"/>
  </r>
  <r>
    <s v="ORD-00178"/>
    <x v="144"/>
    <x v="29"/>
    <x v="1"/>
    <x v="43"/>
    <x v="5"/>
    <x v="5"/>
    <x v="8"/>
    <n v="2"/>
    <n v="5900"/>
    <n v="0.2"/>
    <x v="0"/>
    <x v="7"/>
    <n v="11800"/>
    <n v="2360"/>
    <n v="9440"/>
  </r>
  <r>
    <s v="ORD-00179"/>
    <x v="66"/>
    <x v="18"/>
    <x v="0"/>
    <x v="27"/>
    <x v="2"/>
    <x v="1"/>
    <x v="11"/>
    <n v="5"/>
    <n v="138000"/>
    <n v="0.02"/>
    <x v="2"/>
    <x v="6"/>
    <n v="690000"/>
    <n v="13800"/>
    <n v="676200"/>
  </r>
  <r>
    <s v="ORD-00180"/>
    <x v="145"/>
    <x v="34"/>
    <x v="1"/>
    <x v="4"/>
    <x v="1"/>
    <x v="2"/>
    <x v="9"/>
    <n v="2"/>
    <n v="4200"/>
    <n v="0.2"/>
    <x v="1"/>
    <x v="8"/>
    <n v="8400"/>
    <n v="1680"/>
    <n v="6720"/>
  </r>
  <r>
    <s v="ORD-00181"/>
    <x v="146"/>
    <x v="4"/>
    <x v="0"/>
    <x v="30"/>
    <x v="1"/>
    <x v="2"/>
    <x v="9"/>
    <n v="1"/>
    <n v="4300"/>
    <n v="0"/>
    <x v="0"/>
    <x v="5"/>
    <n v="4300"/>
    <n v="0"/>
    <n v="4300"/>
  </r>
  <r>
    <s v="ORD-00182"/>
    <x v="147"/>
    <x v="29"/>
    <x v="1"/>
    <x v="33"/>
    <x v="0"/>
    <x v="2"/>
    <x v="2"/>
    <n v="10"/>
    <n v="4600"/>
    <n v="0.15"/>
    <x v="1"/>
    <x v="5"/>
    <n v="46000"/>
    <n v="6900"/>
    <n v="39100"/>
  </r>
  <r>
    <s v="ORD-00183"/>
    <x v="148"/>
    <x v="44"/>
    <x v="1"/>
    <x v="1"/>
    <x v="0"/>
    <x v="2"/>
    <x v="9"/>
    <n v="4"/>
    <n v="4000"/>
    <n v="0.15"/>
    <x v="2"/>
    <x v="0"/>
    <n v="16000"/>
    <n v="2400"/>
    <n v="13600"/>
  </r>
  <r>
    <s v="ORD-00184"/>
    <x v="15"/>
    <x v="10"/>
    <x v="0"/>
    <x v="7"/>
    <x v="1"/>
    <x v="4"/>
    <x v="19"/>
    <n v="8"/>
    <n v="40900"/>
    <n v="7.0000000000000007E-2"/>
    <x v="2"/>
    <x v="1"/>
    <n v="327200"/>
    <n v="22904.000000000004"/>
    <n v="304296"/>
  </r>
  <r>
    <s v="ORD-00185"/>
    <x v="149"/>
    <x v="42"/>
    <x v="0"/>
    <x v="12"/>
    <x v="0"/>
    <x v="2"/>
    <x v="9"/>
    <n v="3"/>
    <n v="3600"/>
    <n v="0.12"/>
    <x v="1"/>
    <x v="3"/>
    <n v="10800"/>
    <n v="1296"/>
    <n v="9504"/>
  </r>
  <r>
    <s v="ORD-00186"/>
    <x v="50"/>
    <x v="42"/>
    <x v="0"/>
    <x v="29"/>
    <x v="5"/>
    <x v="3"/>
    <x v="23"/>
    <n v="4"/>
    <n v="118900"/>
    <n v="0.05"/>
    <x v="0"/>
    <x v="5"/>
    <n v="475600"/>
    <n v="23780"/>
    <n v="451820"/>
  </r>
  <r>
    <s v="ORD-00187"/>
    <x v="106"/>
    <x v="27"/>
    <x v="1"/>
    <x v="41"/>
    <x v="5"/>
    <x v="1"/>
    <x v="3"/>
    <n v="10"/>
    <n v="132900"/>
    <n v="0.12"/>
    <x v="0"/>
    <x v="8"/>
    <n v="1329000"/>
    <n v="159480"/>
    <n v="1169520"/>
  </r>
  <r>
    <s v="ORD-00188"/>
    <x v="150"/>
    <x v="39"/>
    <x v="1"/>
    <x v="13"/>
    <x v="5"/>
    <x v="0"/>
    <x v="16"/>
    <n v="2"/>
    <n v="35800"/>
    <n v="0.15"/>
    <x v="1"/>
    <x v="0"/>
    <n v="71600"/>
    <n v="10740"/>
    <n v="60860"/>
  </r>
  <r>
    <s v="ORD-00189"/>
    <x v="129"/>
    <x v="2"/>
    <x v="1"/>
    <x v="11"/>
    <x v="0"/>
    <x v="3"/>
    <x v="4"/>
    <n v="8"/>
    <n v="181900"/>
    <n v="0.18"/>
    <x v="2"/>
    <x v="3"/>
    <n v="1455200"/>
    <n v="261936"/>
    <n v="1193264"/>
  </r>
  <r>
    <s v="ORD-00190"/>
    <x v="151"/>
    <x v="9"/>
    <x v="1"/>
    <x v="35"/>
    <x v="1"/>
    <x v="0"/>
    <x v="12"/>
    <n v="7"/>
    <n v="14300"/>
    <n v="0.12"/>
    <x v="0"/>
    <x v="9"/>
    <n v="100100"/>
    <n v="12012"/>
    <n v="88088"/>
  </r>
  <r>
    <s v="ORD-00191"/>
    <x v="72"/>
    <x v="23"/>
    <x v="1"/>
    <x v="36"/>
    <x v="1"/>
    <x v="0"/>
    <x v="12"/>
    <n v="7"/>
    <n v="8600"/>
    <n v="0.2"/>
    <x v="2"/>
    <x v="3"/>
    <n v="60200"/>
    <n v="12040"/>
    <n v="48160"/>
  </r>
  <r>
    <s v="ORD-00192"/>
    <x v="152"/>
    <x v="41"/>
    <x v="0"/>
    <x v="44"/>
    <x v="4"/>
    <x v="3"/>
    <x v="15"/>
    <n v="7"/>
    <n v="11200"/>
    <n v="0.12"/>
    <x v="2"/>
    <x v="3"/>
    <n v="78400"/>
    <n v="9408"/>
    <n v="68992"/>
  </r>
  <r>
    <s v="ORD-00193"/>
    <x v="153"/>
    <x v="1"/>
    <x v="0"/>
    <x v="30"/>
    <x v="1"/>
    <x v="5"/>
    <x v="21"/>
    <n v="1"/>
    <n v="18200"/>
    <n v="0"/>
    <x v="0"/>
    <x v="8"/>
    <n v="18200"/>
    <n v="0"/>
    <n v="18200"/>
  </r>
  <r>
    <s v="ORD-00194"/>
    <x v="37"/>
    <x v="35"/>
    <x v="0"/>
    <x v="31"/>
    <x v="4"/>
    <x v="4"/>
    <x v="5"/>
    <n v="9"/>
    <n v="248900"/>
    <n v="0.05"/>
    <x v="2"/>
    <x v="1"/>
    <n v="2240100"/>
    <n v="112005"/>
    <n v="2128095"/>
  </r>
  <r>
    <s v="ORD-00195"/>
    <x v="154"/>
    <x v="18"/>
    <x v="0"/>
    <x v="8"/>
    <x v="4"/>
    <x v="2"/>
    <x v="9"/>
    <n v="6"/>
    <n v="4400"/>
    <n v="0.2"/>
    <x v="1"/>
    <x v="3"/>
    <n v="26400"/>
    <n v="5280"/>
    <n v="21120"/>
  </r>
  <r>
    <s v="ORD-00196"/>
    <x v="0"/>
    <x v="36"/>
    <x v="0"/>
    <x v="33"/>
    <x v="0"/>
    <x v="4"/>
    <x v="17"/>
    <n v="6"/>
    <n v="346600"/>
    <n v="0.02"/>
    <x v="2"/>
    <x v="1"/>
    <n v="2079600"/>
    <n v="41592"/>
    <n v="2038008"/>
  </r>
  <r>
    <s v="ORD-00197"/>
    <x v="155"/>
    <x v="47"/>
    <x v="1"/>
    <x v="25"/>
    <x v="2"/>
    <x v="3"/>
    <x v="7"/>
    <n v="10"/>
    <n v="14200"/>
    <n v="7.0000000000000007E-2"/>
    <x v="1"/>
    <x v="5"/>
    <n v="142000"/>
    <n v="9940.0000000000018"/>
    <n v="132060"/>
  </r>
  <r>
    <s v="ORD-00198"/>
    <x v="156"/>
    <x v="30"/>
    <x v="0"/>
    <x v="34"/>
    <x v="4"/>
    <x v="2"/>
    <x v="6"/>
    <n v="4"/>
    <n v="4100"/>
    <n v="0"/>
    <x v="1"/>
    <x v="4"/>
    <n v="16400"/>
    <n v="0"/>
    <n v="16400"/>
  </r>
  <r>
    <s v="ORD-00199"/>
    <x v="8"/>
    <x v="0"/>
    <x v="0"/>
    <x v="2"/>
    <x v="0"/>
    <x v="4"/>
    <x v="5"/>
    <n v="4"/>
    <n v="198300"/>
    <n v="0.15"/>
    <x v="1"/>
    <x v="1"/>
    <n v="793200"/>
    <n v="118980"/>
    <n v="674220"/>
  </r>
  <r>
    <s v="ORD-00200"/>
    <x v="157"/>
    <x v="11"/>
    <x v="0"/>
    <x v="9"/>
    <x v="3"/>
    <x v="2"/>
    <x v="2"/>
    <n v="4"/>
    <n v="4100"/>
    <n v="0.2"/>
    <x v="2"/>
    <x v="0"/>
    <n v="16400"/>
    <n v="3280"/>
    <n v="13120"/>
  </r>
  <r>
    <s v="ORD-00201"/>
    <x v="158"/>
    <x v="27"/>
    <x v="1"/>
    <x v="27"/>
    <x v="1"/>
    <x v="4"/>
    <x v="14"/>
    <n v="6"/>
    <n v="24000"/>
    <n v="0.1"/>
    <x v="1"/>
    <x v="0"/>
    <n v="144000"/>
    <n v="14400"/>
    <n v="129600"/>
  </r>
  <r>
    <s v="ORD-00202"/>
    <x v="56"/>
    <x v="5"/>
    <x v="1"/>
    <x v="4"/>
    <x v="4"/>
    <x v="0"/>
    <x v="0"/>
    <n v="5"/>
    <n v="3400"/>
    <n v="0.1"/>
    <x v="1"/>
    <x v="6"/>
    <n v="17000"/>
    <n v="1700"/>
    <n v="15300"/>
  </r>
  <r>
    <s v="ORD-00203"/>
    <x v="159"/>
    <x v="36"/>
    <x v="0"/>
    <x v="47"/>
    <x v="0"/>
    <x v="4"/>
    <x v="14"/>
    <n v="5"/>
    <n v="24200"/>
    <n v="0.1"/>
    <x v="0"/>
    <x v="1"/>
    <n v="121000"/>
    <n v="12100"/>
    <n v="108900"/>
  </r>
  <r>
    <s v="ORD-00204"/>
    <x v="160"/>
    <x v="8"/>
    <x v="0"/>
    <x v="20"/>
    <x v="5"/>
    <x v="0"/>
    <x v="0"/>
    <n v="1"/>
    <n v="2100"/>
    <n v="0.1"/>
    <x v="1"/>
    <x v="4"/>
    <n v="2100"/>
    <n v="210"/>
    <n v="1890"/>
  </r>
  <r>
    <s v="ORD-00205"/>
    <x v="49"/>
    <x v="43"/>
    <x v="1"/>
    <x v="6"/>
    <x v="0"/>
    <x v="2"/>
    <x v="6"/>
    <n v="4"/>
    <n v="4400"/>
    <n v="0.2"/>
    <x v="2"/>
    <x v="3"/>
    <n v="17600"/>
    <n v="3520"/>
    <n v="14080"/>
  </r>
  <r>
    <s v="ORD-00206"/>
    <x v="34"/>
    <x v="38"/>
    <x v="0"/>
    <x v="43"/>
    <x v="3"/>
    <x v="5"/>
    <x v="13"/>
    <n v="1"/>
    <n v="15900"/>
    <n v="0.2"/>
    <x v="0"/>
    <x v="6"/>
    <n v="15900"/>
    <n v="3180"/>
    <n v="12720"/>
  </r>
  <r>
    <s v="ORD-00207"/>
    <x v="72"/>
    <x v="9"/>
    <x v="1"/>
    <x v="46"/>
    <x v="0"/>
    <x v="2"/>
    <x v="6"/>
    <n v="3"/>
    <n v="3900"/>
    <n v="0"/>
    <x v="1"/>
    <x v="8"/>
    <n v="11700"/>
    <n v="0"/>
    <n v="11700"/>
  </r>
  <r>
    <s v="ORD-00208"/>
    <x v="6"/>
    <x v="7"/>
    <x v="0"/>
    <x v="31"/>
    <x v="5"/>
    <x v="2"/>
    <x v="2"/>
    <n v="5"/>
    <n v="4500"/>
    <n v="0.12"/>
    <x v="2"/>
    <x v="5"/>
    <n v="22500"/>
    <n v="2700"/>
    <n v="19800"/>
  </r>
  <r>
    <s v="ORD-00209"/>
    <x v="161"/>
    <x v="7"/>
    <x v="0"/>
    <x v="33"/>
    <x v="1"/>
    <x v="5"/>
    <x v="8"/>
    <n v="7"/>
    <n v="3200"/>
    <n v="0.05"/>
    <x v="0"/>
    <x v="9"/>
    <n v="22400"/>
    <n v="1120"/>
    <n v="21280"/>
  </r>
  <r>
    <s v="ORD-00210"/>
    <x v="33"/>
    <x v="48"/>
    <x v="0"/>
    <x v="38"/>
    <x v="0"/>
    <x v="3"/>
    <x v="4"/>
    <n v="10"/>
    <n v="184100"/>
    <n v="0.02"/>
    <x v="2"/>
    <x v="7"/>
    <n v="1841000"/>
    <n v="36820"/>
    <n v="1804180"/>
  </r>
  <r>
    <s v="ORD-00211"/>
    <x v="162"/>
    <x v="7"/>
    <x v="0"/>
    <x v="1"/>
    <x v="4"/>
    <x v="4"/>
    <x v="5"/>
    <n v="8"/>
    <n v="222200"/>
    <n v="0.1"/>
    <x v="0"/>
    <x v="4"/>
    <n v="1777600"/>
    <n v="177760"/>
    <n v="1599840"/>
  </r>
  <r>
    <s v="ORD-00212"/>
    <x v="163"/>
    <x v="18"/>
    <x v="0"/>
    <x v="9"/>
    <x v="5"/>
    <x v="2"/>
    <x v="9"/>
    <n v="1"/>
    <n v="2800"/>
    <n v="0.12"/>
    <x v="2"/>
    <x v="1"/>
    <n v="2800"/>
    <n v="336"/>
    <n v="2464"/>
  </r>
  <r>
    <s v="ORD-00213"/>
    <x v="103"/>
    <x v="1"/>
    <x v="0"/>
    <x v="45"/>
    <x v="1"/>
    <x v="5"/>
    <x v="21"/>
    <n v="9"/>
    <n v="17000"/>
    <n v="0.12"/>
    <x v="0"/>
    <x v="9"/>
    <n v="153000"/>
    <n v="18360"/>
    <n v="134640"/>
  </r>
  <r>
    <s v="ORD-00214"/>
    <x v="46"/>
    <x v="9"/>
    <x v="1"/>
    <x v="19"/>
    <x v="1"/>
    <x v="4"/>
    <x v="14"/>
    <n v="1"/>
    <n v="19100"/>
    <n v="0.1"/>
    <x v="2"/>
    <x v="6"/>
    <n v="19100"/>
    <n v="1910"/>
    <n v="17190"/>
  </r>
  <r>
    <s v="ORD-00215"/>
    <x v="164"/>
    <x v="1"/>
    <x v="0"/>
    <x v="4"/>
    <x v="0"/>
    <x v="0"/>
    <x v="18"/>
    <n v="6"/>
    <n v="3000"/>
    <n v="7.0000000000000007E-2"/>
    <x v="0"/>
    <x v="4"/>
    <n v="18000"/>
    <n v="1260.0000000000002"/>
    <n v="16740"/>
  </r>
  <r>
    <s v="ORD-00216"/>
    <x v="165"/>
    <x v="31"/>
    <x v="0"/>
    <x v="34"/>
    <x v="5"/>
    <x v="2"/>
    <x v="9"/>
    <n v="5"/>
    <n v="2500"/>
    <n v="0.12"/>
    <x v="1"/>
    <x v="6"/>
    <n v="12500"/>
    <n v="1500"/>
    <n v="11000"/>
  </r>
  <r>
    <s v="ORD-00217"/>
    <x v="166"/>
    <x v="32"/>
    <x v="0"/>
    <x v="31"/>
    <x v="1"/>
    <x v="4"/>
    <x v="14"/>
    <n v="9"/>
    <n v="21800"/>
    <n v="0.18"/>
    <x v="1"/>
    <x v="6"/>
    <n v="196200"/>
    <n v="35316"/>
    <n v="160884"/>
  </r>
  <r>
    <s v="ORD-00218"/>
    <x v="167"/>
    <x v="19"/>
    <x v="1"/>
    <x v="42"/>
    <x v="3"/>
    <x v="5"/>
    <x v="21"/>
    <n v="6"/>
    <n v="18700"/>
    <n v="0.02"/>
    <x v="1"/>
    <x v="4"/>
    <n v="112200"/>
    <n v="2244"/>
    <n v="109956"/>
  </r>
  <r>
    <s v="ORD-00219"/>
    <x v="114"/>
    <x v="34"/>
    <x v="1"/>
    <x v="10"/>
    <x v="1"/>
    <x v="5"/>
    <x v="13"/>
    <n v="6"/>
    <n v="13400"/>
    <n v="0.2"/>
    <x v="2"/>
    <x v="4"/>
    <n v="80400"/>
    <n v="16080"/>
    <n v="64320"/>
  </r>
  <r>
    <s v="ORD-00220"/>
    <x v="168"/>
    <x v="2"/>
    <x v="1"/>
    <x v="12"/>
    <x v="4"/>
    <x v="4"/>
    <x v="17"/>
    <n v="8"/>
    <n v="383800"/>
    <n v="0"/>
    <x v="2"/>
    <x v="8"/>
    <n v="3070400"/>
    <n v="0"/>
    <n v="3070400"/>
  </r>
  <r>
    <s v="ORD-00221"/>
    <x v="169"/>
    <x v="40"/>
    <x v="1"/>
    <x v="13"/>
    <x v="4"/>
    <x v="3"/>
    <x v="7"/>
    <n v="5"/>
    <n v="17500"/>
    <n v="0"/>
    <x v="2"/>
    <x v="7"/>
    <n v="87500"/>
    <n v="0"/>
    <n v="87500"/>
  </r>
  <r>
    <s v="ORD-00222"/>
    <x v="91"/>
    <x v="11"/>
    <x v="0"/>
    <x v="18"/>
    <x v="4"/>
    <x v="3"/>
    <x v="4"/>
    <n v="6"/>
    <n v="200500"/>
    <n v="0.02"/>
    <x v="1"/>
    <x v="5"/>
    <n v="1203000"/>
    <n v="24060"/>
    <n v="1178940"/>
  </r>
  <r>
    <s v="ORD-00223"/>
    <x v="1"/>
    <x v="30"/>
    <x v="0"/>
    <x v="23"/>
    <x v="0"/>
    <x v="4"/>
    <x v="5"/>
    <n v="3"/>
    <n v="291600"/>
    <n v="0.15"/>
    <x v="2"/>
    <x v="9"/>
    <n v="874800"/>
    <n v="131220"/>
    <n v="743580"/>
  </r>
  <r>
    <s v="ORD-00224"/>
    <x v="53"/>
    <x v="27"/>
    <x v="1"/>
    <x v="20"/>
    <x v="3"/>
    <x v="2"/>
    <x v="2"/>
    <n v="6"/>
    <n v="4300"/>
    <n v="0.02"/>
    <x v="0"/>
    <x v="3"/>
    <n v="25800"/>
    <n v="516"/>
    <n v="25284"/>
  </r>
  <r>
    <s v="ORD-00225"/>
    <x v="170"/>
    <x v="3"/>
    <x v="1"/>
    <x v="43"/>
    <x v="2"/>
    <x v="1"/>
    <x v="10"/>
    <n v="1"/>
    <n v="49800"/>
    <n v="0.1"/>
    <x v="2"/>
    <x v="3"/>
    <n v="49800"/>
    <n v="4980"/>
    <n v="44820"/>
  </r>
  <r>
    <s v="ORD-00226"/>
    <x v="171"/>
    <x v="8"/>
    <x v="0"/>
    <x v="20"/>
    <x v="1"/>
    <x v="1"/>
    <x v="1"/>
    <n v="3"/>
    <n v="41300"/>
    <n v="0.1"/>
    <x v="0"/>
    <x v="4"/>
    <n v="123900"/>
    <n v="12390"/>
    <n v="111510"/>
  </r>
  <r>
    <s v="ORD-00227"/>
    <x v="172"/>
    <x v="13"/>
    <x v="0"/>
    <x v="46"/>
    <x v="4"/>
    <x v="3"/>
    <x v="15"/>
    <n v="2"/>
    <n v="14800"/>
    <n v="0.02"/>
    <x v="1"/>
    <x v="5"/>
    <n v="29600"/>
    <n v="592"/>
    <n v="29008"/>
  </r>
  <r>
    <s v="ORD-00228"/>
    <x v="164"/>
    <x v="25"/>
    <x v="1"/>
    <x v="44"/>
    <x v="2"/>
    <x v="3"/>
    <x v="15"/>
    <n v="7"/>
    <n v="9400"/>
    <n v="0.18"/>
    <x v="0"/>
    <x v="3"/>
    <n v="65800"/>
    <n v="11844"/>
    <n v="53956"/>
  </r>
  <r>
    <s v="ORD-00229"/>
    <x v="173"/>
    <x v="1"/>
    <x v="0"/>
    <x v="7"/>
    <x v="1"/>
    <x v="5"/>
    <x v="22"/>
    <n v="10"/>
    <n v="4000"/>
    <n v="0.12"/>
    <x v="1"/>
    <x v="1"/>
    <n v="40000"/>
    <n v="4800"/>
    <n v="35200"/>
  </r>
  <r>
    <s v="ORD-00230"/>
    <x v="7"/>
    <x v="42"/>
    <x v="0"/>
    <x v="29"/>
    <x v="0"/>
    <x v="1"/>
    <x v="3"/>
    <n v="5"/>
    <n v="144200"/>
    <n v="0.1"/>
    <x v="0"/>
    <x v="3"/>
    <n v="721000"/>
    <n v="72100"/>
    <n v="648900"/>
  </r>
  <r>
    <s v="ORD-00231"/>
    <x v="174"/>
    <x v="11"/>
    <x v="0"/>
    <x v="19"/>
    <x v="2"/>
    <x v="2"/>
    <x v="6"/>
    <n v="8"/>
    <n v="5800"/>
    <n v="0"/>
    <x v="2"/>
    <x v="9"/>
    <n v="46400"/>
    <n v="0"/>
    <n v="46400"/>
  </r>
  <r>
    <s v="ORD-00232"/>
    <x v="175"/>
    <x v="42"/>
    <x v="0"/>
    <x v="25"/>
    <x v="5"/>
    <x v="4"/>
    <x v="5"/>
    <n v="7"/>
    <n v="168600"/>
    <n v="0.05"/>
    <x v="1"/>
    <x v="0"/>
    <n v="1180200"/>
    <n v="59010"/>
    <n v="1121190"/>
  </r>
  <r>
    <s v="ORD-00233"/>
    <x v="129"/>
    <x v="33"/>
    <x v="1"/>
    <x v="26"/>
    <x v="2"/>
    <x v="1"/>
    <x v="1"/>
    <n v="1"/>
    <n v="60000"/>
    <n v="0.2"/>
    <x v="2"/>
    <x v="9"/>
    <n v="60000"/>
    <n v="12000"/>
    <n v="48000"/>
  </r>
  <r>
    <s v="ORD-00234"/>
    <x v="176"/>
    <x v="3"/>
    <x v="1"/>
    <x v="43"/>
    <x v="5"/>
    <x v="1"/>
    <x v="11"/>
    <n v="6"/>
    <n v="96700"/>
    <n v="0.02"/>
    <x v="2"/>
    <x v="2"/>
    <n v="580200"/>
    <n v="11604"/>
    <n v="568596"/>
  </r>
  <r>
    <s v="ORD-00235"/>
    <x v="177"/>
    <x v="8"/>
    <x v="0"/>
    <x v="9"/>
    <x v="1"/>
    <x v="3"/>
    <x v="23"/>
    <n v="10"/>
    <n v="109400"/>
    <n v="0"/>
    <x v="0"/>
    <x v="6"/>
    <n v="1094000"/>
    <n v="0"/>
    <n v="1094000"/>
  </r>
  <r>
    <s v="ORD-00236"/>
    <x v="178"/>
    <x v="47"/>
    <x v="1"/>
    <x v="21"/>
    <x v="4"/>
    <x v="1"/>
    <x v="1"/>
    <n v="6"/>
    <n v="36800"/>
    <n v="0.1"/>
    <x v="0"/>
    <x v="6"/>
    <n v="220800"/>
    <n v="22080"/>
    <n v="198720"/>
  </r>
  <r>
    <s v="ORD-00237"/>
    <x v="8"/>
    <x v="11"/>
    <x v="0"/>
    <x v="0"/>
    <x v="2"/>
    <x v="4"/>
    <x v="5"/>
    <n v="10"/>
    <n v="272400"/>
    <n v="7.0000000000000007E-2"/>
    <x v="2"/>
    <x v="6"/>
    <n v="2724000"/>
    <n v="190680.00000000003"/>
    <n v="2533320"/>
  </r>
  <r>
    <s v="ORD-00238"/>
    <x v="179"/>
    <x v="42"/>
    <x v="0"/>
    <x v="28"/>
    <x v="5"/>
    <x v="4"/>
    <x v="14"/>
    <n v="5"/>
    <n v="20100"/>
    <n v="0.12"/>
    <x v="1"/>
    <x v="0"/>
    <n v="100500"/>
    <n v="12060"/>
    <n v="88440"/>
  </r>
  <r>
    <s v="ORD-00239"/>
    <x v="165"/>
    <x v="9"/>
    <x v="1"/>
    <x v="9"/>
    <x v="5"/>
    <x v="0"/>
    <x v="0"/>
    <n v="6"/>
    <n v="2300"/>
    <n v="0.15"/>
    <x v="0"/>
    <x v="1"/>
    <n v="13800"/>
    <n v="2070"/>
    <n v="11730"/>
  </r>
  <r>
    <s v="ORD-00240"/>
    <x v="180"/>
    <x v="11"/>
    <x v="0"/>
    <x v="30"/>
    <x v="3"/>
    <x v="0"/>
    <x v="16"/>
    <n v="3"/>
    <n v="44700"/>
    <n v="7.0000000000000007E-2"/>
    <x v="2"/>
    <x v="6"/>
    <n v="134100"/>
    <n v="9387"/>
    <n v="124713"/>
  </r>
  <r>
    <s v="ORD-00241"/>
    <x v="181"/>
    <x v="23"/>
    <x v="1"/>
    <x v="29"/>
    <x v="5"/>
    <x v="5"/>
    <x v="22"/>
    <n v="8"/>
    <n v="4100"/>
    <n v="0.18"/>
    <x v="2"/>
    <x v="8"/>
    <n v="32800"/>
    <n v="5904"/>
    <n v="26896"/>
  </r>
  <r>
    <s v="ORD-00242"/>
    <x v="132"/>
    <x v="18"/>
    <x v="0"/>
    <x v="43"/>
    <x v="2"/>
    <x v="5"/>
    <x v="21"/>
    <n v="9"/>
    <n v="13000"/>
    <n v="0"/>
    <x v="1"/>
    <x v="5"/>
    <n v="117000"/>
    <n v="0"/>
    <n v="117000"/>
  </r>
  <r>
    <s v="ORD-00243"/>
    <x v="48"/>
    <x v="13"/>
    <x v="0"/>
    <x v="7"/>
    <x v="3"/>
    <x v="4"/>
    <x v="5"/>
    <n v="4"/>
    <n v="255300"/>
    <n v="0.02"/>
    <x v="1"/>
    <x v="8"/>
    <n v="1021200"/>
    <n v="20424"/>
    <n v="1000776"/>
  </r>
  <r>
    <s v="ORD-00244"/>
    <x v="151"/>
    <x v="2"/>
    <x v="1"/>
    <x v="10"/>
    <x v="5"/>
    <x v="0"/>
    <x v="18"/>
    <n v="10"/>
    <n v="3800"/>
    <n v="0.18"/>
    <x v="1"/>
    <x v="0"/>
    <n v="38000"/>
    <n v="6840"/>
    <n v="31160"/>
  </r>
  <r>
    <s v="ORD-00245"/>
    <x v="128"/>
    <x v="14"/>
    <x v="1"/>
    <x v="1"/>
    <x v="4"/>
    <x v="4"/>
    <x v="17"/>
    <n v="9"/>
    <n v="254400"/>
    <n v="0.1"/>
    <x v="1"/>
    <x v="7"/>
    <n v="2289600"/>
    <n v="228960"/>
    <n v="2060640"/>
  </r>
  <r>
    <s v="ORD-00246"/>
    <x v="128"/>
    <x v="39"/>
    <x v="1"/>
    <x v="25"/>
    <x v="2"/>
    <x v="4"/>
    <x v="5"/>
    <n v="2"/>
    <n v="118100"/>
    <n v="0.2"/>
    <x v="0"/>
    <x v="6"/>
    <n v="236200"/>
    <n v="47240"/>
    <n v="188960"/>
  </r>
  <r>
    <s v="ORD-00247"/>
    <x v="56"/>
    <x v="41"/>
    <x v="0"/>
    <x v="15"/>
    <x v="0"/>
    <x v="0"/>
    <x v="12"/>
    <n v="7"/>
    <n v="14500"/>
    <n v="0.02"/>
    <x v="2"/>
    <x v="9"/>
    <n v="101500"/>
    <n v="2030"/>
    <n v="99470"/>
  </r>
  <r>
    <s v="ORD-00248"/>
    <x v="182"/>
    <x v="23"/>
    <x v="1"/>
    <x v="29"/>
    <x v="2"/>
    <x v="1"/>
    <x v="11"/>
    <n v="1"/>
    <n v="80600"/>
    <n v="0.02"/>
    <x v="2"/>
    <x v="9"/>
    <n v="80600"/>
    <n v="1612"/>
    <n v="78988"/>
  </r>
  <r>
    <s v="ORD-00249"/>
    <x v="183"/>
    <x v="34"/>
    <x v="1"/>
    <x v="31"/>
    <x v="3"/>
    <x v="2"/>
    <x v="20"/>
    <n v="3"/>
    <n v="2200"/>
    <n v="0.02"/>
    <x v="2"/>
    <x v="9"/>
    <n v="6600"/>
    <n v="132"/>
    <n v="6468"/>
  </r>
  <r>
    <s v="ORD-00250"/>
    <x v="184"/>
    <x v="35"/>
    <x v="0"/>
    <x v="33"/>
    <x v="3"/>
    <x v="5"/>
    <x v="8"/>
    <n v="4"/>
    <n v="3400"/>
    <n v="0.18"/>
    <x v="2"/>
    <x v="5"/>
    <n v="13600"/>
    <n v="2448"/>
    <n v="11152"/>
  </r>
  <r>
    <s v="ORD-00251"/>
    <x v="48"/>
    <x v="19"/>
    <x v="1"/>
    <x v="4"/>
    <x v="4"/>
    <x v="5"/>
    <x v="8"/>
    <n v="6"/>
    <n v="3200"/>
    <n v="0"/>
    <x v="0"/>
    <x v="1"/>
    <n v="19200"/>
    <n v="0"/>
    <n v="19200"/>
  </r>
  <r>
    <s v="ORD-00252"/>
    <x v="149"/>
    <x v="1"/>
    <x v="0"/>
    <x v="12"/>
    <x v="5"/>
    <x v="3"/>
    <x v="23"/>
    <n v="10"/>
    <n v="81300"/>
    <n v="7.0000000000000007E-2"/>
    <x v="1"/>
    <x v="9"/>
    <n v="813000"/>
    <n v="56910.000000000007"/>
    <n v="756090"/>
  </r>
  <r>
    <s v="ORD-00253"/>
    <x v="160"/>
    <x v="8"/>
    <x v="0"/>
    <x v="24"/>
    <x v="5"/>
    <x v="2"/>
    <x v="2"/>
    <n v="2"/>
    <n v="4600"/>
    <n v="0.2"/>
    <x v="1"/>
    <x v="2"/>
    <n v="9200"/>
    <n v="1840"/>
    <n v="7360"/>
  </r>
  <r>
    <s v="ORD-00254"/>
    <x v="185"/>
    <x v="9"/>
    <x v="1"/>
    <x v="35"/>
    <x v="1"/>
    <x v="3"/>
    <x v="23"/>
    <n v="10"/>
    <n v="139300"/>
    <n v="0.15"/>
    <x v="2"/>
    <x v="5"/>
    <n v="1393000"/>
    <n v="208950"/>
    <n v="1184050"/>
  </r>
  <r>
    <s v="ORD-00255"/>
    <x v="101"/>
    <x v="38"/>
    <x v="0"/>
    <x v="2"/>
    <x v="5"/>
    <x v="1"/>
    <x v="11"/>
    <n v="7"/>
    <n v="119200"/>
    <n v="0.05"/>
    <x v="1"/>
    <x v="1"/>
    <n v="834400"/>
    <n v="41720"/>
    <n v="792680"/>
  </r>
  <r>
    <s v="ORD-00256"/>
    <x v="65"/>
    <x v="27"/>
    <x v="1"/>
    <x v="16"/>
    <x v="4"/>
    <x v="0"/>
    <x v="0"/>
    <n v="2"/>
    <n v="3000"/>
    <n v="0.02"/>
    <x v="2"/>
    <x v="8"/>
    <n v="6000"/>
    <n v="120"/>
    <n v="5880"/>
  </r>
  <r>
    <s v="ORD-00257"/>
    <x v="181"/>
    <x v="36"/>
    <x v="0"/>
    <x v="40"/>
    <x v="1"/>
    <x v="2"/>
    <x v="6"/>
    <n v="6"/>
    <n v="4800"/>
    <n v="0.02"/>
    <x v="0"/>
    <x v="5"/>
    <n v="28800"/>
    <n v="576"/>
    <n v="28224"/>
  </r>
  <r>
    <s v="ORD-00258"/>
    <x v="155"/>
    <x v="43"/>
    <x v="1"/>
    <x v="17"/>
    <x v="0"/>
    <x v="3"/>
    <x v="15"/>
    <n v="3"/>
    <n v="10900"/>
    <n v="0.15"/>
    <x v="2"/>
    <x v="3"/>
    <n v="32700"/>
    <n v="4905"/>
    <n v="27795"/>
  </r>
  <r>
    <s v="ORD-00259"/>
    <x v="186"/>
    <x v="39"/>
    <x v="1"/>
    <x v="46"/>
    <x v="3"/>
    <x v="3"/>
    <x v="4"/>
    <n v="9"/>
    <n v="191400"/>
    <n v="0.02"/>
    <x v="1"/>
    <x v="1"/>
    <n v="1722600"/>
    <n v="34452"/>
    <n v="1688148"/>
  </r>
  <r>
    <s v="ORD-00260"/>
    <x v="187"/>
    <x v="27"/>
    <x v="1"/>
    <x v="39"/>
    <x v="0"/>
    <x v="4"/>
    <x v="19"/>
    <n v="9"/>
    <n v="27800"/>
    <n v="7.0000000000000007E-2"/>
    <x v="1"/>
    <x v="3"/>
    <n v="250200"/>
    <n v="17514"/>
    <n v="232686"/>
  </r>
  <r>
    <s v="ORD-00261"/>
    <x v="188"/>
    <x v="19"/>
    <x v="1"/>
    <x v="20"/>
    <x v="1"/>
    <x v="1"/>
    <x v="11"/>
    <n v="5"/>
    <n v="109500"/>
    <n v="0.18"/>
    <x v="0"/>
    <x v="4"/>
    <n v="547500"/>
    <n v="98550"/>
    <n v="448950"/>
  </r>
  <r>
    <s v="ORD-00262"/>
    <x v="189"/>
    <x v="20"/>
    <x v="1"/>
    <x v="4"/>
    <x v="5"/>
    <x v="0"/>
    <x v="16"/>
    <n v="6"/>
    <n v="37500"/>
    <n v="0.1"/>
    <x v="0"/>
    <x v="0"/>
    <n v="225000"/>
    <n v="22500"/>
    <n v="202500"/>
  </r>
  <r>
    <s v="ORD-00263"/>
    <x v="190"/>
    <x v="41"/>
    <x v="0"/>
    <x v="45"/>
    <x v="5"/>
    <x v="3"/>
    <x v="15"/>
    <n v="1"/>
    <n v="18000"/>
    <n v="0.15"/>
    <x v="2"/>
    <x v="1"/>
    <n v="18000"/>
    <n v="2700"/>
    <n v="15300"/>
  </r>
  <r>
    <s v="ORD-00264"/>
    <x v="181"/>
    <x v="35"/>
    <x v="0"/>
    <x v="2"/>
    <x v="0"/>
    <x v="4"/>
    <x v="5"/>
    <n v="6"/>
    <n v="168800"/>
    <n v="7.0000000000000007E-2"/>
    <x v="2"/>
    <x v="2"/>
    <n v="1012800"/>
    <n v="70896"/>
    <n v="941904"/>
  </r>
  <r>
    <s v="ORD-00265"/>
    <x v="191"/>
    <x v="22"/>
    <x v="0"/>
    <x v="27"/>
    <x v="0"/>
    <x v="2"/>
    <x v="6"/>
    <n v="4"/>
    <n v="5900"/>
    <n v="0.12"/>
    <x v="2"/>
    <x v="7"/>
    <n v="23600"/>
    <n v="2832"/>
    <n v="20768"/>
  </r>
  <r>
    <s v="ORD-00266"/>
    <x v="170"/>
    <x v="46"/>
    <x v="0"/>
    <x v="0"/>
    <x v="4"/>
    <x v="1"/>
    <x v="3"/>
    <n v="9"/>
    <n v="179400"/>
    <n v="0"/>
    <x v="1"/>
    <x v="0"/>
    <n v="1614600"/>
    <n v="0"/>
    <n v="1614600"/>
  </r>
  <r>
    <s v="ORD-00267"/>
    <x v="192"/>
    <x v="2"/>
    <x v="1"/>
    <x v="2"/>
    <x v="0"/>
    <x v="2"/>
    <x v="20"/>
    <n v="7"/>
    <n v="2300"/>
    <n v="0.18"/>
    <x v="0"/>
    <x v="7"/>
    <n v="16100"/>
    <n v="2898"/>
    <n v="13202"/>
  </r>
  <r>
    <s v="ORD-00268"/>
    <x v="129"/>
    <x v="21"/>
    <x v="0"/>
    <x v="21"/>
    <x v="1"/>
    <x v="2"/>
    <x v="6"/>
    <n v="2"/>
    <n v="5000"/>
    <n v="0.18"/>
    <x v="1"/>
    <x v="0"/>
    <n v="10000"/>
    <n v="1800"/>
    <n v="8200"/>
  </r>
  <r>
    <s v="ORD-00269"/>
    <x v="156"/>
    <x v="22"/>
    <x v="0"/>
    <x v="1"/>
    <x v="4"/>
    <x v="2"/>
    <x v="6"/>
    <n v="1"/>
    <n v="5700"/>
    <n v="0.12"/>
    <x v="1"/>
    <x v="3"/>
    <n v="5700"/>
    <n v="684"/>
    <n v="5016"/>
  </r>
  <r>
    <s v="ORD-00270"/>
    <x v="190"/>
    <x v="44"/>
    <x v="1"/>
    <x v="16"/>
    <x v="3"/>
    <x v="1"/>
    <x v="11"/>
    <n v="10"/>
    <n v="91800"/>
    <n v="0"/>
    <x v="1"/>
    <x v="9"/>
    <n v="918000"/>
    <n v="0"/>
    <n v="918000"/>
  </r>
  <r>
    <s v="ORD-00271"/>
    <x v="163"/>
    <x v="20"/>
    <x v="1"/>
    <x v="5"/>
    <x v="3"/>
    <x v="3"/>
    <x v="23"/>
    <n v="9"/>
    <n v="89100"/>
    <n v="0.2"/>
    <x v="1"/>
    <x v="1"/>
    <n v="801900"/>
    <n v="160380"/>
    <n v="641520"/>
  </r>
  <r>
    <s v="ORD-00272"/>
    <x v="193"/>
    <x v="23"/>
    <x v="1"/>
    <x v="3"/>
    <x v="5"/>
    <x v="0"/>
    <x v="16"/>
    <n v="10"/>
    <n v="50200"/>
    <n v="0.2"/>
    <x v="0"/>
    <x v="2"/>
    <n v="502000"/>
    <n v="100400"/>
    <n v="401600"/>
  </r>
  <r>
    <s v="ORD-00273"/>
    <x v="194"/>
    <x v="30"/>
    <x v="0"/>
    <x v="5"/>
    <x v="0"/>
    <x v="4"/>
    <x v="17"/>
    <n v="3"/>
    <n v="280400"/>
    <n v="0.12"/>
    <x v="2"/>
    <x v="2"/>
    <n v="841200"/>
    <n v="100944"/>
    <n v="740256"/>
  </r>
  <r>
    <s v="ORD-00274"/>
    <x v="77"/>
    <x v="2"/>
    <x v="1"/>
    <x v="15"/>
    <x v="5"/>
    <x v="0"/>
    <x v="16"/>
    <n v="8"/>
    <n v="38200"/>
    <n v="0.18"/>
    <x v="2"/>
    <x v="4"/>
    <n v="305600"/>
    <n v="55008"/>
    <n v="250592"/>
  </r>
  <r>
    <s v="ORD-00275"/>
    <x v="195"/>
    <x v="17"/>
    <x v="0"/>
    <x v="12"/>
    <x v="3"/>
    <x v="3"/>
    <x v="23"/>
    <n v="2"/>
    <n v="144900"/>
    <n v="0.05"/>
    <x v="1"/>
    <x v="6"/>
    <n v="289800"/>
    <n v="14490"/>
    <n v="275310"/>
  </r>
  <r>
    <s v="ORD-00276"/>
    <x v="196"/>
    <x v="48"/>
    <x v="0"/>
    <x v="36"/>
    <x v="1"/>
    <x v="0"/>
    <x v="16"/>
    <n v="4"/>
    <n v="50100"/>
    <n v="0.15"/>
    <x v="1"/>
    <x v="8"/>
    <n v="200400"/>
    <n v="30060"/>
    <n v="170340"/>
  </r>
  <r>
    <s v="ORD-00277"/>
    <x v="197"/>
    <x v="44"/>
    <x v="1"/>
    <x v="21"/>
    <x v="5"/>
    <x v="4"/>
    <x v="17"/>
    <n v="10"/>
    <n v="443300"/>
    <n v="7.0000000000000007E-2"/>
    <x v="2"/>
    <x v="1"/>
    <n v="4433000"/>
    <n v="310310.00000000006"/>
    <n v="4122690"/>
  </r>
  <r>
    <s v="ORD-00278"/>
    <x v="198"/>
    <x v="27"/>
    <x v="1"/>
    <x v="39"/>
    <x v="2"/>
    <x v="1"/>
    <x v="3"/>
    <n v="2"/>
    <n v="126500"/>
    <n v="0.02"/>
    <x v="1"/>
    <x v="8"/>
    <n v="253000"/>
    <n v="5060"/>
    <n v="247940"/>
  </r>
  <r>
    <s v="ORD-00279"/>
    <x v="153"/>
    <x v="42"/>
    <x v="0"/>
    <x v="45"/>
    <x v="5"/>
    <x v="3"/>
    <x v="23"/>
    <n v="8"/>
    <n v="147900"/>
    <n v="0.2"/>
    <x v="1"/>
    <x v="2"/>
    <n v="1183200"/>
    <n v="236640"/>
    <n v="946560"/>
  </r>
  <r>
    <s v="ORD-00280"/>
    <x v="27"/>
    <x v="27"/>
    <x v="1"/>
    <x v="41"/>
    <x v="5"/>
    <x v="5"/>
    <x v="8"/>
    <n v="6"/>
    <n v="3900"/>
    <n v="0.18"/>
    <x v="1"/>
    <x v="8"/>
    <n v="23400"/>
    <n v="4212"/>
    <n v="19188"/>
  </r>
  <r>
    <s v="ORD-00281"/>
    <x v="7"/>
    <x v="36"/>
    <x v="0"/>
    <x v="26"/>
    <x v="4"/>
    <x v="5"/>
    <x v="8"/>
    <n v="3"/>
    <n v="5300"/>
    <n v="0.12"/>
    <x v="0"/>
    <x v="6"/>
    <n v="15900"/>
    <n v="1908"/>
    <n v="13992"/>
  </r>
  <r>
    <s v="ORD-00282"/>
    <x v="199"/>
    <x v="28"/>
    <x v="1"/>
    <x v="19"/>
    <x v="0"/>
    <x v="2"/>
    <x v="2"/>
    <n v="7"/>
    <n v="4000"/>
    <n v="0.15"/>
    <x v="1"/>
    <x v="8"/>
    <n v="28000"/>
    <n v="4200"/>
    <n v="23800"/>
  </r>
  <r>
    <s v="ORD-00283"/>
    <x v="200"/>
    <x v="27"/>
    <x v="1"/>
    <x v="35"/>
    <x v="1"/>
    <x v="4"/>
    <x v="5"/>
    <n v="3"/>
    <n v="235500"/>
    <n v="0.18"/>
    <x v="2"/>
    <x v="8"/>
    <n v="706500"/>
    <n v="127170"/>
    <n v="579330"/>
  </r>
  <r>
    <s v="ORD-00284"/>
    <x v="197"/>
    <x v="42"/>
    <x v="0"/>
    <x v="2"/>
    <x v="4"/>
    <x v="3"/>
    <x v="23"/>
    <n v="8"/>
    <n v="61300"/>
    <n v="0.05"/>
    <x v="0"/>
    <x v="9"/>
    <n v="490400"/>
    <n v="24520"/>
    <n v="465880"/>
  </r>
  <r>
    <s v="ORD-00285"/>
    <x v="201"/>
    <x v="39"/>
    <x v="1"/>
    <x v="6"/>
    <x v="5"/>
    <x v="4"/>
    <x v="19"/>
    <n v="8"/>
    <n v="38600"/>
    <n v="0.18"/>
    <x v="0"/>
    <x v="4"/>
    <n v="308800"/>
    <n v="55584"/>
    <n v="253216"/>
  </r>
  <r>
    <s v="ORD-00286"/>
    <x v="202"/>
    <x v="0"/>
    <x v="0"/>
    <x v="3"/>
    <x v="0"/>
    <x v="3"/>
    <x v="23"/>
    <n v="9"/>
    <n v="89500"/>
    <n v="0.1"/>
    <x v="0"/>
    <x v="0"/>
    <n v="805500"/>
    <n v="80550"/>
    <n v="724950"/>
  </r>
  <r>
    <s v="ORD-00287"/>
    <x v="202"/>
    <x v="11"/>
    <x v="0"/>
    <x v="47"/>
    <x v="4"/>
    <x v="5"/>
    <x v="8"/>
    <n v="2"/>
    <n v="4800"/>
    <n v="0.1"/>
    <x v="1"/>
    <x v="2"/>
    <n v="9600"/>
    <n v="960"/>
    <n v="8640"/>
  </r>
  <r>
    <s v="ORD-00288"/>
    <x v="203"/>
    <x v="1"/>
    <x v="0"/>
    <x v="23"/>
    <x v="2"/>
    <x v="4"/>
    <x v="5"/>
    <n v="2"/>
    <n v="201500"/>
    <n v="7.0000000000000007E-2"/>
    <x v="2"/>
    <x v="5"/>
    <n v="403000"/>
    <n v="28210.000000000004"/>
    <n v="374790"/>
  </r>
  <r>
    <s v="ORD-00289"/>
    <x v="36"/>
    <x v="21"/>
    <x v="0"/>
    <x v="22"/>
    <x v="3"/>
    <x v="4"/>
    <x v="17"/>
    <n v="4"/>
    <n v="312100"/>
    <n v="0.12"/>
    <x v="1"/>
    <x v="1"/>
    <n v="1248400"/>
    <n v="149808"/>
    <n v="1098592"/>
  </r>
  <r>
    <s v="ORD-00290"/>
    <x v="204"/>
    <x v="20"/>
    <x v="1"/>
    <x v="34"/>
    <x v="4"/>
    <x v="1"/>
    <x v="3"/>
    <n v="1"/>
    <n v="117100"/>
    <n v="0.12"/>
    <x v="1"/>
    <x v="7"/>
    <n v="117100"/>
    <n v="14052"/>
    <n v="103048"/>
  </r>
  <r>
    <s v="ORD-00291"/>
    <x v="27"/>
    <x v="8"/>
    <x v="0"/>
    <x v="34"/>
    <x v="0"/>
    <x v="2"/>
    <x v="9"/>
    <n v="10"/>
    <n v="3200"/>
    <n v="0.1"/>
    <x v="1"/>
    <x v="4"/>
    <n v="32000"/>
    <n v="3200"/>
    <n v="28800"/>
  </r>
  <r>
    <s v="ORD-00292"/>
    <x v="205"/>
    <x v="1"/>
    <x v="0"/>
    <x v="46"/>
    <x v="3"/>
    <x v="0"/>
    <x v="0"/>
    <n v="3"/>
    <n v="2900"/>
    <n v="7.0000000000000007E-2"/>
    <x v="0"/>
    <x v="2"/>
    <n v="8700"/>
    <n v="609.00000000000011"/>
    <n v="8091"/>
  </r>
  <r>
    <s v="ORD-00293"/>
    <x v="167"/>
    <x v="1"/>
    <x v="0"/>
    <x v="44"/>
    <x v="5"/>
    <x v="4"/>
    <x v="5"/>
    <n v="5"/>
    <n v="241400"/>
    <n v="0.15"/>
    <x v="2"/>
    <x v="0"/>
    <n v="1207000"/>
    <n v="181050"/>
    <n v="1025950"/>
  </r>
  <r>
    <s v="ORD-00294"/>
    <x v="48"/>
    <x v="44"/>
    <x v="1"/>
    <x v="16"/>
    <x v="5"/>
    <x v="5"/>
    <x v="22"/>
    <n v="6"/>
    <n v="5800"/>
    <n v="0.18"/>
    <x v="2"/>
    <x v="2"/>
    <n v="34800"/>
    <n v="6264"/>
    <n v="28536"/>
  </r>
  <r>
    <s v="ORD-00295"/>
    <x v="113"/>
    <x v="14"/>
    <x v="1"/>
    <x v="9"/>
    <x v="3"/>
    <x v="2"/>
    <x v="6"/>
    <n v="2"/>
    <n v="5000"/>
    <n v="0.2"/>
    <x v="2"/>
    <x v="6"/>
    <n v="10000"/>
    <n v="2000"/>
    <n v="8000"/>
  </r>
  <r>
    <s v="ORD-00296"/>
    <x v="198"/>
    <x v="2"/>
    <x v="1"/>
    <x v="47"/>
    <x v="0"/>
    <x v="0"/>
    <x v="12"/>
    <n v="9"/>
    <n v="10800"/>
    <n v="0.05"/>
    <x v="1"/>
    <x v="0"/>
    <n v="97200"/>
    <n v="4860"/>
    <n v="92340"/>
  </r>
  <r>
    <s v="ORD-00297"/>
    <x v="206"/>
    <x v="19"/>
    <x v="1"/>
    <x v="7"/>
    <x v="3"/>
    <x v="3"/>
    <x v="7"/>
    <n v="2"/>
    <n v="12100"/>
    <n v="0.05"/>
    <x v="2"/>
    <x v="0"/>
    <n v="24200"/>
    <n v="1210"/>
    <n v="22990"/>
  </r>
  <r>
    <s v="ORD-00298"/>
    <x v="207"/>
    <x v="20"/>
    <x v="1"/>
    <x v="45"/>
    <x v="2"/>
    <x v="1"/>
    <x v="11"/>
    <n v="5"/>
    <n v="90800"/>
    <n v="0.02"/>
    <x v="1"/>
    <x v="2"/>
    <n v="454000"/>
    <n v="9080"/>
    <n v="444920"/>
  </r>
  <r>
    <s v="ORD-00299"/>
    <x v="19"/>
    <x v="24"/>
    <x v="1"/>
    <x v="17"/>
    <x v="2"/>
    <x v="2"/>
    <x v="2"/>
    <n v="7"/>
    <n v="3100"/>
    <n v="0.1"/>
    <x v="1"/>
    <x v="6"/>
    <n v="21700"/>
    <n v="2170"/>
    <n v="19530"/>
  </r>
  <r>
    <s v="ORD-00300"/>
    <x v="198"/>
    <x v="7"/>
    <x v="0"/>
    <x v="16"/>
    <x v="2"/>
    <x v="3"/>
    <x v="4"/>
    <n v="8"/>
    <n v="173000"/>
    <n v="0.02"/>
    <x v="0"/>
    <x v="1"/>
    <n v="1384000"/>
    <n v="27680"/>
    <n v="1356320"/>
  </r>
  <r>
    <s v="ORD-00301"/>
    <x v="208"/>
    <x v="3"/>
    <x v="1"/>
    <x v="44"/>
    <x v="5"/>
    <x v="3"/>
    <x v="4"/>
    <n v="2"/>
    <n v="190000"/>
    <n v="0.15"/>
    <x v="1"/>
    <x v="8"/>
    <n v="380000"/>
    <n v="57000"/>
    <n v="323000"/>
  </r>
  <r>
    <s v="ORD-00302"/>
    <x v="209"/>
    <x v="45"/>
    <x v="0"/>
    <x v="3"/>
    <x v="5"/>
    <x v="3"/>
    <x v="4"/>
    <n v="6"/>
    <n v="158500"/>
    <n v="0.12"/>
    <x v="2"/>
    <x v="8"/>
    <n v="951000"/>
    <n v="114120"/>
    <n v="836880"/>
  </r>
  <r>
    <s v="ORD-00303"/>
    <x v="83"/>
    <x v="29"/>
    <x v="1"/>
    <x v="43"/>
    <x v="2"/>
    <x v="2"/>
    <x v="2"/>
    <n v="9"/>
    <n v="3100"/>
    <n v="0"/>
    <x v="1"/>
    <x v="8"/>
    <n v="27900"/>
    <n v="0"/>
    <n v="27900"/>
  </r>
  <r>
    <s v="ORD-00304"/>
    <x v="210"/>
    <x v="15"/>
    <x v="0"/>
    <x v="9"/>
    <x v="1"/>
    <x v="2"/>
    <x v="2"/>
    <n v="7"/>
    <n v="4900"/>
    <n v="0.18"/>
    <x v="0"/>
    <x v="4"/>
    <n v="34300"/>
    <n v="6174"/>
    <n v="28126"/>
  </r>
  <r>
    <s v="ORD-00305"/>
    <x v="211"/>
    <x v="32"/>
    <x v="0"/>
    <x v="0"/>
    <x v="4"/>
    <x v="2"/>
    <x v="6"/>
    <n v="7"/>
    <n v="4900"/>
    <n v="0.12"/>
    <x v="0"/>
    <x v="6"/>
    <n v="34300"/>
    <n v="4116"/>
    <n v="30184"/>
  </r>
  <r>
    <s v="ORD-00306"/>
    <x v="212"/>
    <x v="7"/>
    <x v="0"/>
    <x v="16"/>
    <x v="1"/>
    <x v="5"/>
    <x v="22"/>
    <n v="1"/>
    <n v="6200"/>
    <n v="0.1"/>
    <x v="0"/>
    <x v="3"/>
    <n v="6200"/>
    <n v="620"/>
    <n v="5580"/>
  </r>
  <r>
    <s v="ORD-00307"/>
    <x v="30"/>
    <x v="39"/>
    <x v="1"/>
    <x v="45"/>
    <x v="2"/>
    <x v="4"/>
    <x v="14"/>
    <n v="1"/>
    <n v="25600"/>
    <n v="7.0000000000000007E-2"/>
    <x v="2"/>
    <x v="9"/>
    <n v="25600"/>
    <n v="1792.0000000000002"/>
    <n v="23808"/>
  </r>
  <r>
    <s v="ORD-00308"/>
    <x v="213"/>
    <x v="5"/>
    <x v="1"/>
    <x v="47"/>
    <x v="2"/>
    <x v="5"/>
    <x v="8"/>
    <n v="1"/>
    <n v="4700"/>
    <n v="0.12"/>
    <x v="2"/>
    <x v="8"/>
    <n v="4700"/>
    <n v="564"/>
    <n v="4136"/>
  </r>
  <r>
    <s v="ORD-00309"/>
    <x v="214"/>
    <x v="23"/>
    <x v="1"/>
    <x v="46"/>
    <x v="0"/>
    <x v="5"/>
    <x v="13"/>
    <n v="2"/>
    <n v="23400"/>
    <n v="0"/>
    <x v="1"/>
    <x v="4"/>
    <n v="46800"/>
    <n v="0"/>
    <n v="46800"/>
  </r>
  <r>
    <s v="ORD-00310"/>
    <x v="215"/>
    <x v="21"/>
    <x v="0"/>
    <x v="18"/>
    <x v="3"/>
    <x v="3"/>
    <x v="7"/>
    <n v="5"/>
    <n v="16200"/>
    <n v="0.2"/>
    <x v="2"/>
    <x v="9"/>
    <n v="81000"/>
    <n v="16200"/>
    <n v="64800"/>
  </r>
  <r>
    <s v="ORD-00311"/>
    <x v="24"/>
    <x v="22"/>
    <x v="0"/>
    <x v="16"/>
    <x v="2"/>
    <x v="5"/>
    <x v="13"/>
    <n v="2"/>
    <n v="17100"/>
    <n v="0.1"/>
    <x v="0"/>
    <x v="3"/>
    <n v="34200"/>
    <n v="3420"/>
    <n v="30780"/>
  </r>
  <r>
    <s v="ORD-00312"/>
    <x v="14"/>
    <x v="16"/>
    <x v="1"/>
    <x v="1"/>
    <x v="0"/>
    <x v="4"/>
    <x v="17"/>
    <n v="7"/>
    <n v="331300"/>
    <n v="7.0000000000000007E-2"/>
    <x v="0"/>
    <x v="6"/>
    <n v="2319100"/>
    <n v="162337.00000000003"/>
    <n v="2156763"/>
  </r>
  <r>
    <s v="ORD-00313"/>
    <x v="216"/>
    <x v="20"/>
    <x v="1"/>
    <x v="0"/>
    <x v="5"/>
    <x v="5"/>
    <x v="8"/>
    <n v="3"/>
    <n v="3800"/>
    <n v="0.02"/>
    <x v="0"/>
    <x v="8"/>
    <n v="11400"/>
    <n v="228"/>
    <n v="11172"/>
  </r>
  <r>
    <s v="ORD-00314"/>
    <x v="24"/>
    <x v="14"/>
    <x v="1"/>
    <x v="34"/>
    <x v="5"/>
    <x v="0"/>
    <x v="12"/>
    <n v="6"/>
    <n v="9400"/>
    <n v="0.05"/>
    <x v="1"/>
    <x v="7"/>
    <n v="56400"/>
    <n v="2820"/>
    <n v="53580"/>
  </r>
  <r>
    <s v="ORD-00315"/>
    <x v="217"/>
    <x v="29"/>
    <x v="1"/>
    <x v="32"/>
    <x v="0"/>
    <x v="4"/>
    <x v="14"/>
    <n v="2"/>
    <n v="23600"/>
    <n v="0.1"/>
    <x v="1"/>
    <x v="1"/>
    <n v="47200"/>
    <n v="4720"/>
    <n v="42480"/>
  </r>
  <r>
    <s v="ORD-00316"/>
    <x v="218"/>
    <x v="45"/>
    <x v="0"/>
    <x v="47"/>
    <x v="5"/>
    <x v="5"/>
    <x v="22"/>
    <n v="8"/>
    <n v="3200"/>
    <n v="0.05"/>
    <x v="2"/>
    <x v="8"/>
    <n v="25600"/>
    <n v="1280"/>
    <n v="24320"/>
  </r>
  <r>
    <s v="ORD-00317"/>
    <x v="219"/>
    <x v="29"/>
    <x v="1"/>
    <x v="5"/>
    <x v="4"/>
    <x v="2"/>
    <x v="20"/>
    <n v="9"/>
    <n v="1700"/>
    <n v="0"/>
    <x v="0"/>
    <x v="5"/>
    <n v="15300"/>
    <n v="0"/>
    <n v="15300"/>
  </r>
  <r>
    <s v="ORD-00318"/>
    <x v="220"/>
    <x v="17"/>
    <x v="0"/>
    <x v="31"/>
    <x v="0"/>
    <x v="4"/>
    <x v="5"/>
    <n v="1"/>
    <n v="136900"/>
    <n v="0.2"/>
    <x v="1"/>
    <x v="9"/>
    <n v="136900"/>
    <n v="27380"/>
    <n v="109520"/>
  </r>
  <r>
    <s v="ORD-00319"/>
    <x v="25"/>
    <x v="42"/>
    <x v="0"/>
    <x v="29"/>
    <x v="5"/>
    <x v="2"/>
    <x v="9"/>
    <n v="2"/>
    <n v="3100"/>
    <n v="0.12"/>
    <x v="0"/>
    <x v="3"/>
    <n v="6200"/>
    <n v="744"/>
    <n v="5456"/>
  </r>
  <r>
    <s v="ORD-00320"/>
    <x v="7"/>
    <x v="12"/>
    <x v="1"/>
    <x v="19"/>
    <x v="1"/>
    <x v="5"/>
    <x v="8"/>
    <n v="2"/>
    <n v="4100"/>
    <n v="0.18"/>
    <x v="2"/>
    <x v="7"/>
    <n v="8200"/>
    <n v="1476"/>
    <n v="6724"/>
  </r>
  <r>
    <s v="ORD-00321"/>
    <x v="28"/>
    <x v="24"/>
    <x v="1"/>
    <x v="36"/>
    <x v="5"/>
    <x v="3"/>
    <x v="23"/>
    <n v="5"/>
    <n v="86300"/>
    <n v="0.1"/>
    <x v="1"/>
    <x v="1"/>
    <n v="431500"/>
    <n v="43150"/>
    <n v="388350"/>
  </r>
  <r>
    <s v="ORD-00322"/>
    <x v="51"/>
    <x v="37"/>
    <x v="1"/>
    <x v="17"/>
    <x v="4"/>
    <x v="4"/>
    <x v="5"/>
    <n v="9"/>
    <n v="282000"/>
    <n v="7.0000000000000007E-2"/>
    <x v="0"/>
    <x v="5"/>
    <n v="2538000"/>
    <n v="177660.00000000003"/>
    <n v="2360340"/>
  </r>
  <r>
    <s v="ORD-00323"/>
    <x v="70"/>
    <x v="0"/>
    <x v="0"/>
    <x v="3"/>
    <x v="4"/>
    <x v="0"/>
    <x v="18"/>
    <n v="1"/>
    <n v="3200"/>
    <n v="0.15"/>
    <x v="1"/>
    <x v="7"/>
    <n v="3200"/>
    <n v="480"/>
    <n v="2720"/>
  </r>
  <r>
    <s v="ORD-00324"/>
    <x v="221"/>
    <x v="2"/>
    <x v="1"/>
    <x v="15"/>
    <x v="1"/>
    <x v="4"/>
    <x v="19"/>
    <n v="3"/>
    <n v="27000"/>
    <n v="0.1"/>
    <x v="0"/>
    <x v="5"/>
    <n v="81000"/>
    <n v="8100"/>
    <n v="72900"/>
  </r>
  <r>
    <s v="ORD-00325"/>
    <x v="64"/>
    <x v="3"/>
    <x v="1"/>
    <x v="46"/>
    <x v="2"/>
    <x v="0"/>
    <x v="16"/>
    <n v="2"/>
    <n v="59500"/>
    <n v="0.02"/>
    <x v="1"/>
    <x v="8"/>
    <n v="119000"/>
    <n v="2380"/>
    <n v="116620"/>
  </r>
  <r>
    <s v="ORD-00326"/>
    <x v="222"/>
    <x v="22"/>
    <x v="0"/>
    <x v="14"/>
    <x v="4"/>
    <x v="5"/>
    <x v="8"/>
    <n v="3"/>
    <n v="4300"/>
    <n v="7.0000000000000007E-2"/>
    <x v="2"/>
    <x v="7"/>
    <n v="12900"/>
    <n v="903.00000000000011"/>
    <n v="11997"/>
  </r>
  <r>
    <s v="ORD-00327"/>
    <x v="223"/>
    <x v="22"/>
    <x v="0"/>
    <x v="25"/>
    <x v="2"/>
    <x v="0"/>
    <x v="12"/>
    <n v="5"/>
    <n v="11700"/>
    <n v="7.0000000000000007E-2"/>
    <x v="0"/>
    <x v="6"/>
    <n v="58500"/>
    <n v="4095.0000000000005"/>
    <n v="54405"/>
  </r>
  <r>
    <s v="ORD-00328"/>
    <x v="205"/>
    <x v="29"/>
    <x v="1"/>
    <x v="11"/>
    <x v="3"/>
    <x v="1"/>
    <x v="10"/>
    <n v="8"/>
    <n v="30400"/>
    <n v="0.18"/>
    <x v="2"/>
    <x v="9"/>
    <n v="243200"/>
    <n v="43776"/>
    <n v="199424"/>
  </r>
  <r>
    <s v="ORD-00329"/>
    <x v="224"/>
    <x v="8"/>
    <x v="0"/>
    <x v="22"/>
    <x v="1"/>
    <x v="4"/>
    <x v="14"/>
    <n v="5"/>
    <n v="22600"/>
    <n v="0.02"/>
    <x v="0"/>
    <x v="8"/>
    <n v="113000"/>
    <n v="2260"/>
    <n v="110740"/>
  </r>
  <r>
    <s v="ORD-00330"/>
    <x v="84"/>
    <x v="31"/>
    <x v="0"/>
    <x v="12"/>
    <x v="2"/>
    <x v="5"/>
    <x v="8"/>
    <n v="6"/>
    <n v="3400"/>
    <n v="0.05"/>
    <x v="0"/>
    <x v="6"/>
    <n v="20400"/>
    <n v="1020"/>
    <n v="19380"/>
  </r>
  <r>
    <s v="ORD-00331"/>
    <x v="131"/>
    <x v="22"/>
    <x v="0"/>
    <x v="10"/>
    <x v="3"/>
    <x v="2"/>
    <x v="9"/>
    <n v="3"/>
    <n v="3100"/>
    <n v="0"/>
    <x v="2"/>
    <x v="0"/>
    <n v="9300"/>
    <n v="0"/>
    <n v="9300"/>
  </r>
  <r>
    <s v="ORD-00332"/>
    <x v="186"/>
    <x v="11"/>
    <x v="0"/>
    <x v="36"/>
    <x v="1"/>
    <x v="3"/>
    <x v="7"/>
    <n v="3"/>
    <n v="12800"/>
    <n v="0.02"/>
    <x v="0"/>
    <x v="5"/>
    <n v="38400"/>
    <n v="768"/>
    <n v="37632"/>
  </r>
  <r>
    <s v="ORD-00333"/>
    <x v="180"/>
    <x v="32"/>
    <x v="0"/>
    <x v="45"/>
    <x v="5"/>
    <x v="0"/>
    <x v="18"/>
    <n v="10"/>
    <n v="3700"/>
    <n v="0.1"/>
    <x v="0"/>
    <x v="5"/>
    <n v="37000"/>
    <n v="3700"/>
    <n v="33300"/>
  </r>
  <r>
    <s v="ORD-00334"/>
    <x v="95"/>
    <x v="6"/>
    <x v="1"/>
    <x v="6"/>
    <x v="5"/>
    <x v="1"/>
    <x v="10"/>
    <n v="6"/>
    <n v="54700"/>
    <n v="0.02"/>
    <x v="0"/>
    <x v="0"/>
    <n v="328200"/>
    <n v="6564"/>
    <n v="321636"/>
  </r>
  <r>
    <s v="ORD-00335"/>
    <x v="43"/>
    <x v="18"/>
    <x v="0"/>
    <x v="33"/>
    <x v="5"/>
    <x v="2"/>
    <x v="6"/>
    <n v="1"/>
    <n v="5500"/>
    <n v="0.15"/>
    <x v="1"/>
    <x v="9"/>
    <n v="5500"/>
    <n v="825"/>
    <n v="4675"/>
  </r>
  <r>
    <s v="ORD-00336"/>
    <x v="63"/>
    <x v="15"/>
    <x v="0"/>
    <x v="18"/>
    <x v="1"/>
    <x v="0"/>
    <x v="12"/>
    <n v="3"/>
    <n v="11700"/>
    <n v="0"/>
    <x v="1"/>
    <x v="1"/>
    <n v="35100"/>
    <n v="0"/>
    <n v="35100"/>
  </r>
  <r>
    <s v="ORD-00337"/>
    <x v="29"/>
    <x v="5"/>
    <x v="1"/>
    <x v="6"/>
    <x v="0"/>
    <x v="4"/>
    <x v="19"/>
    <n v="8"/>
    <n v="43000"/>
    <n v="0"/>
    <x v="0"/>
    <x v="7"/>
    <n v="344000"/>
    <n v="0"/>
    <n v="344000"/>
  </r>
  <r>
    <s v="ORD-00338"/>
    <x v="38"/>
    <x v="32"/>
    <x v="0"/>
    <x v="46"/>
    <x v="1"/>
    <x v="2"/>
    <x v="2"/>
    <n v="9"/>
    <n v="4300"/>
    <n v="0"/>
    <x v="2"/>
    <x v="2"/>
    <n v="38700"/>
    <n v="0"/>
    <n v="38700"/>
  </r>
  <r>
    <s v="ORD-00339"/>
    <x v="225"/>
    <x v="8"/>
    <x v="0"/>
    <x v="47"/>
    <x v="0"/>
    <x v="5"/>
    <x v="22"/>
    <n v="5"/>
    <n v="4600"/>
    <n v="0.05"/>
    <x v="0"/>
    <x v="2"/>
    <n v="23000"/>
    <n v="1150"/>
    <n v="21850"/>
  </r>
  <r>
    <s v="ORD-00340"/>
    <x v="27"/>
    <x v="33"/>
    <x v="1"/>
    <x v="32"/>
    <x v="0"/>
    <x v="3"/>
    <x v="7"/>
    <n v="6"/>
    <n v="16300"/>
    <n v="7.0000000000000007E-2"/>
    <x v="0"/>
    <x v="4"/>
    <n v="97800"/>
    <n v="6846.0000000000009"/>
    <n v="90954"/>
  </r>
  <r>
    <s v="ORD-00341"/>
    <x v="167"/>
    <x v="13"/>
    <x v="0"/>
    <x v="29"/>
    <x v="0"/>
    <x v="5"/>
    <x v="8"/>
    <n v="4"/>
    <n v="5600"/>
    <n v="0.15"/>
    <x v="2"/>
    <x v="8"/>
    <n v="22400"/>
    <n v="3360"/>
    <n v="19040"/>
  </r>
  <r>
    <s v="ORD-00342"/>
    <x v="191"/>
    <x v="5"/>
    <x v="1"/>
    <x v="11"/>
    <x v="0"/>
    <x v="2"/>
    <x v="9"/>
    <n v="1"/>
    <n v="4400"/>
    <n v="0.12"/>
    <x v="1"/>
    <x v="1"/>
    <n v="4400"/>
    <n v="528"/>
    <n v="3872"/>
  </r>
  <r>
    <s v="ORD-00343"/>
    <x v="226"/>
    <x v="23"/>
    <x v="1"/>
    <x v="45"/>
    <x v="5"/>
    <x v="5"/>
    <x v="22"/>
    <n v="8"/>
    <n v="3700"/>
    <n v="0"/>
    <x v="0"/>
    <x v="5"/>
    <n v="29600"/>
    <n v="0"/>
    <n v="29600"/>
  </r>
  <r>
    <s v="ORD-00344"/>
    <x v="227"/>
    <x v="25"/>
    <x v="1"/>
    <x v="3"/>
    <x v="3"/>
    <x v="5"/>
    <x v="21"/>
    <n v="6"/>
    <n v="10000"/>
    <n v="7.0000000000000007E-2"/>
    <x v="0"/>
    <x v="2"/>
    <n v="60000"/>
    <n v="4200"/>
    <n v="55800"/>
  </r>
  <r>
    <s v="ORD-00345"/>
    <x v="191"/>
    <x v="42"/>
    <x v="0"/>
    <x v="7"/>
    <x v="3"/>
    <x v="1"/>
    <x v="3"/>
    <n v="9"/>
    <n v="104500"/>
    <n v="0.12"/>
    <x v="0"/>
    <x v="2"/>
    <n v="940500"/>
    <n v="112860"/>
    <n v="827640"/>
  </r>
  <r>
    <s v="ORD-00346"/>
    <x v="228"/>
    <x v="13"/>
    <x v="0"/>
    <x v="8"/>
    <x v="4"/>
    <x v="3"/>
    <x v="23"/>
    <n v="6"/>
    <n v="99600"/>
    <n v="0.05"/>
    <x v="0"/>
    <x v="9"/>
    <n v="597600"/>
    <n v="29880"/>
    <n v="567720"/>
  </r>
  <r>
    <s v="ORD-00347"/>
    <x v="82"/>
    <x v="49"/>
    <x v="0"/>
    <x v="6"/>
    <x v="0"/>
    <x v="1"/>
    <x v="11"/>
    <n v="10"/>
    <n v="99300"/>
    <n v="0.05"/>
    <x v="2"/>
    <x v="7"/>
    <n v="993000"/>
    <n v="49650"/>
    <n v="943350"/>
  </r>
  <r>
    <s v="ORD-00348"/>
    <x v="193"/>
    <x v="26"/>
    <x v="1"/>
    <x v="43"/>
    <x v="1"/>
    <x v="2"/>
    <x v="20"/>
    <n v="10"/>
    <n v="2500"/>
    <n v="0.15"/>
    <x v="1"/>
    <x v="5"/>
    <n v="25000"/>
    <n v="3750"/>
    <n v="21250"/>
  </r>
  <r>
    <s v="ORD-00349"/>
    <x v="144"/>
    <x v="25"/>
    <x v="1"/>
    <x v="27"/>
    <x v="4"/>
    <x v="1"/>
    <x v="10"/>
    <n v="3"/>
    <n v="41300"/>
    <n v="0.12"/>
    <x v="1"/>
    <x v="4"/>
    <n v="123900"/>
    <n v="14868"/>
    <n v="109032"/>
  </r>
  <r>
    <s v="ORD-00350"/>
    <x v="23"/>
    <x v="15"/>
    <x v="0"/>
    <x v="27"/>
    <x v="1"/>
    <x v="2"/>
    <x v="20"/>
    <n v="6"/>
    <n v="2300"/>
    <n v="0.18"/>
    <x v="0"/>
    <x v="7"/>
    <n v="13800"/>
    <n v="2484"/>
    <n v="11316"/>
  </r>
  <r>
    <s v="ORD-00351"/>
    <x v="229"/>
    <x v="5"/>
    <x v="1"/>
    <x v="25"/>
    <x v="3"/>
    <x v="0"/>
    <x v="12"/>
    <n v="2"/>
    <n v="14400"/>
    <n v="0"/>
    <x v="0"/>
    <x v="9"/>
    <n v="28800"/>
    <n v="0"/>
    <n v="28800"/>
  </r>
  <r>
    <s v="ORD-00352"/>
    <x v="3"/>
    <x v="47"/>
    <x v="1"/>
    <x v="46"/>
    <x v="1"/>
    <x v="4"/>
    <x v="19"/>
    <n v="6"/>
    <n v="37400"/>
    <n v="0.2"/>
    <x v="2"/>
    <x v="4"/>
    <n v="224400"/>
    <n v="44880"/>
    <n v="179520"/>
  </r>
  <r>
    <s v="ORD-00353"/>
    <x v="225"/>
    <x v="23"/>
    <x v="1"/>
    <x v="6"/>
    <x v="2"/>
    <x v="1"/>
    <x v="3"/>
    <n v="2"/>
    <n v="149200"/>
    <n v="0"/>
    <x v="2"/>
    <x v="5"/>
    <n v="298400"/>
    <n v="0"/>
    <n v="298400"/>
  </r>
  <r>
    <s v="ORD-00354"/>
    <x v="154"/>
    <x v="21"/>
    <x v="0"/>
    <x v="5"/>
    <x v="3"/>
    <x v="0"/>
    <x v="0"/>
    <n v="7"/>
    <n v="3300"/>
    <n v="0.05"/>
    <x v="1"/>
    <x v="4"/>
    <n v="23100"/>
    <n v="1155"/>
    <n v="21945"/>
  </r>
  <r>
    <s v="ORD-00355"/>
    <x v="230"/>
    <x v="24"/>
    <x v="1"/>
    <x v="24"/>
    <x v="4"/>
    <x v="5"/>
    <x v="21"/>
    <n v="1"/>
    <n v="21500"/>
    <n v="0.15"/>
    <x v="1"/>
    <x v="8"/>
    <n v="21500"/>
    <n v="3225"/>
    <n v="18275"/>
  </r>
  <r>
    <s v="ORD-00356"/>
    <x v="30"/>
    <x v="20"/>
    <x v="1"/>
    <x v="34"/>
    <x v="3"/>
    <x v="3"/>
    <x v="23"/>
    <n v="4"/>
    <n v="86900"/>
    <n v="0.15"/>
    <x v="1"/>
    <x v="3"/>
    <n v="347600"/>
    <n v="52140"/>
    <n v="295460"/>
  </r>
  <r>
    <s v="ORD-00357"/>
    <x v="231"/>
    <x v="21"/>
    <x v="0"/>
    <x v="21"/>
    <x v="0"/>
    <x v="0"/>
    <x v="0"/>
    <n v="1"/>
    <n v="1700"/>
    <n v="0.15"/>
    <x v="1"/>
    <x v="3"/>
    <n v="1700"/>
    <n v="255"/>
    <n v="1445"/>
  </r>
  <r>
    <s v="ORD-00358"/>
    <x v="232"/>
    <x v="16"/>
    <x v="1"/>
    <x v="7"/>
    <x v="0"/>
    <x v="3"/>
    <x v="7"/>
    <n v="5"/>
    <n v="12700"/>
    <n v="0.18"/>
    <x v="0"/>
    <x v="4"/>
    <n v="63500"/>
    <n v="11430"/>
    <n v="52070"/>
  </r>
  <r>
    <s v="ORD-00359"/>
    <x v="42"/>
    <x v="2"/>
    <x v="1"/>
    <x v="34"/>
    <x v="2"/>
    <x v="0"/>
    <x v="18"/>
    <n v="2"/>
    <n v="3500"/>
    <n v="0.1"/>
    <x v="2"/>
    <x v="0"/>
    <n v="7000"/>
    <n v="700"/>
    <n v="6300"/>
  </r>
  <r>
    <s v="ORD-00360"/>
    <x v="0"/>
    <x v="13"/>
    <x v="0"/>
    <x v="37"/>
    <x v="3"/>
    <x v="2"/>
    <x v="6"/>
    <n v="6"/>
    <n v="4300"/>
    <n v="0.15"/>
    <x v="2"/>
    <x v="8"/>
    <n v="25800"/>
    <n v="3870"/>
    <n v="21930"/>
  </r>
  <r>
    <s v="ORD-00361"/>
    <x v="164"/>
    <x v="17"/>
    <x v="0"/>
    <x v="37"/>
    <x v="5"/>
    <x v="4"/>
    <x v="14"/>
    <n v="5"/>
    <n v="18700"/>
    <n v="0"/>
    <x v="0"/>
    <x v="4"/>
    <n v="93500"/>
    <n v="0"/>
    <n v="93500"/>
  </r>
  <r>
    <s v="ORD-00362"/>
    <x v="233"/>
    <x v="13"/>
    <x v="0"/>
    <x v="22"/>
    <x v="4"/>
    <x v="4"/>
    <x v="5"/>
    <n v="1"/>
    <n v="235100"/>
    <n v="0.15"/>
    <x v="1"/>
    <x v="9"/>
    <n v="235100"/>
    <n v="35265"/>
    <n v="199835"/>
  </r>
  <r>
    <s v="ORD-00363"/>
    <x v="234"/>
    <x v="19"/>
    <x v="1"/>
    <x v="31"/>
    <x v="4"/>
    <x v="1"/>
    <x v="1"/>
    <n v="2"/>
    <n v="39800"/>
    <n v="0.15"/>
    <x v="1"/>
    <x v="5"/>
    <n v="79600"/>
    <n v="11940"/>
    <n v="67660"/>
  </r>
  <r>
    <s v="ORD-00364"/>
    <x v="235"/>
    <x v="23"/>
    <x v="1"/>
    <x v="15"/>
    <x v="4"/>
    <x v="2"/>
    <x v="2"/>
    <n v="8"/>
    <n v="3200"/>
    <n v="0.05"/>
    <x v="0"/>
    <x v="6"/>
    <n v="25600"/>
    <n v="1280"/>
    <n v="24320"/>
  </r>
  <r>
    <s v="ORD-00365"/>
    <x v="56"/>
    <x v="32"/>
    <x v="0"/>
    <x v="23"/>
    <x v="5"/>
    <x v="3"/>
    <x v="7"/>
    <n v="3"/>
    <n v="13700"/>
    <n v="0.1"/>
    <x v="2"/>
    <x v="4"/>
    <n v="41100"/>
    <n v="4110"/>
    <n v="36990"/>
  </r>
  <r>
    <s v="ORD-00366"/>
    <x v="216"/>
    <x v="27"/>
    <x v="1"/>
    <x v="36"/>
    <x v="5"/>
    <x v="5"/>
    <x v="22"/>
    <n v="5"/>
    <n v="6500"/>
    <n v="0.2"/>
    <x v="2"/>
    <x v="5"/>
    <n v="32500"/>
    <n v="6500"/>
    <n v="26000"/>
  </r>
  <r>
    <s v="ORD-00367"/>
    <x v="67"/>
    <x v="41"/>
    <x v="0"/>
    <x v="11"/>
    <x v="4"/>
    <x v="4"/>
    <x v="17"/>
    <n v="3"/>
    <n v="358600"/>
    <n v="0.05"/>
    <x v="1"/>
    <x v="1"/>
    <n v="1075800"/>
    <n v="53790"/>
    <n v="1022010"/>
  </r>
  <r>
    <s v="ORD-00368"/>
    <x v="156"/>
    <x v="1"/>
    <x v="0"/>
    <x v="5"/>
    <x v="3"/>
    <x v="5"/>
    <x v="8"/>
    <n v="5"/>
    <n v="5700"/>
    <n v="0.2"/>
    <x v="2"/>
    <x v="9"/>
    <n v="28500"/>
    <n v="5700"/>
    <n v="22800"/>
  </r>
  <r>
    <s v="ORD-00369"/>
    <x v="236"/>
    <x v="27"/>
    <x v="1"/>
    <x v="6"/>
    <x v="5"/>
    <x v="5"/>
    <x v="21"/>
    <n v="3"/>
    <n v="10600"/>
    <n v="0.1"/>
    <x v="2"/>
    <x v="8"/>
    <n v="31800"/>
    <n v="3180"/>
    <n v="28620"/>
  </r>
  <r>
    <s v="ORD-00370"/>
    <x v="61"/>
    <x v="25"/>
    <x v="1"/>
    <x v="44"/>
    <x v="2"/>
    <x v="4"/>
    <x v="17"/>
    <n v="6"/>
    <n v="353800"/>
    <n v="7.0000000000000007E-2"/>
    <x v="0"/>
    <x v="0"/>
    <n v="2122800"/>
    <n v="148596"/>
    <n v="1974204"/>
  </r>
  <r>
    <s v="ORD-00371"/>
    <x v="237"/>
    <x v="46"/>
    <x v="0"/>
    <x v="32"/>
    <x v="0"/>
    <x v="0"/>
    <x v="12"/>
    <n v="8"/>
    <n v="10300"/>
    <n v="0.02"/>
    <x v="0"/>
    <x v="8"/>
    <n v="82400"/>
    <n v="1648"/>
    <n v="80752"/>
  </r>
  <r>
    <s v="ORD-00372"/>
    <x v="195"/>
    <x v="11"/>
    <x v="0"/>
    <x v="2"/>
    <x v="0"/>
    <x v="0"/>
    <x v="16"/>
    <n v="2"/>
    <n v="54800"/>
    <n v="7.0000000000000007E-2"/>
    <x v="2"/>
    <x v="6"/>
    <n v="109600"/>
    <n v="7672.0000000000009"/>
    <n v="101928"/>
  </r>
  <r>
    <s v="ORD-00373"/>
    <x v="6"/>
    <x v="11"/>
    <x v="0"/>
    <x v="47"/>
    <x v="4"/>
    <x v="0"/>
    <x v="18"/>
    <n v="3"/>
    <n v="3600"/>
    <n v="0.02"/>
    <x v="2"/>
    <x v="3"/>
    <n v="10800"/>
    <n v="216"/>
    <n v="10584"/>
  </r>
  <r>
    <s v="ORD-00374"/>
    <x v="238"/>
    <x v="32"/>
    <x v="0"/>
    <x v="15"/>
    <x v="4"/>
    <x v="3"/>
    <x v="15"/>
    <n v="4"/>
    <n v="14300"/>
    <n v="0"/>
    <x v="0"/>
    <x v="5"/>
    <n v="57200"/>
    <n v="0"/>
    <n v="57200"/>
  </r>
  <r>
    <s v="ORD-00375"/>
    <x v="77"/>
    <x v="12"/>
    <x v="1"/>
    <x v="17"/>
    <x v="2"/>
    <x v="1"/>
    <x v="11"/>
    <n v="8"/>
    <n v="118300"/>
    <n v="0.2"/>
    <x v="2"/>
    <x v="4"/>
    <n v="946400"/>
    <n v="189280"/>
    <n v="757120"/>
  </r>
  <r>
    <s v="ORD-00376"/>
    <x v="168"/>
    <x v="0"/>
    <x v="0"/>
    <x v="29"/>
    <x v="0"/>
    <x v="4"/>
    <x v="19"/>
    <n v="8"/>
    <n v="30800"/>
    <n v="0.2"/>
    <x v="2"/>
    <x v="2"/>
    <n v="246400"/>
    <n v="49280"/>
    <n v="197120"/>
  </r>
  <r>
    <s v="ORD-00377"/>
    <x v="239"/>
    <x v="21"/>
    <x v="0"/>
    <x v="38"/>
    <x v="2"/>
    <x v="3"/>
    <x v="23"/>
    <n v="7"/>
    <n v="63600"/>
    <n v="0"/>
    <x v="0"/>
    <x v="1"/>
    <n v="445200"/>
    <n v="0"/>
    <n v="445200"/>
  </r>
  <r>
    <s v="ORD-00378"/>
    <x v="240"/>
    <x v="33"/>
    <x v="1"/>
    <x v="6"/>
    <x v="1"/>
    <x v="2"/>
    <x v="2"/>
    <n v="7"/>
    <n v="3600"/>
    <n v="0.2"/>
    <x v="0"/>
    <x v="5"/>
    <n v="25200"/>
    <n v="5040"/>
    <n v="20160"/>
  </r>
  <r>
    <s v="ORD-00379"/>
    <x v="241"/>
    <x v="32"/>
    <x v="0"/>
    <x v="6"/>
    <x v="1"/>
    <x v="5"/>
    <x v="8"/>
    <n v="5"/>
    <n v="3400"/>
    <n v="0.1"/>
    <x v="1"/>
    <x v="7"/>
    <n v="17000"/>
    <n v="1700"/>
    <n v="15300"/>
  </r>
  <r>
    <s v="ORD-00380"/>
    <x v="2"/>
    <x v="27"/>
    <x v="1"/>
    <x v="22"/>
    <x v="5"/>
    <x v="0"/>
    <x v="0"/>
    <n v="5"/>
    <n v="2500"/>
    <n v="0.2"/>
    <x v="1"/>
    <x v="9"/>
    <n v="12500"/>
    <n v="2500"/>
    <n v="10000"/>
  </r>
  <r>
    <s v="ORD-00381"/>
    <x v="242"/>
    <x v="9"/>
    <x v="1"/>
    <x v="39"/>
    <x v="4"/>
    <x v="2"/>
    <x v="9"/>
    <n v="10"/>
    <n v="4300"/>
    <n v="0.1"/>
    <x v="2"/>
    <x v="4"/>
    <n v="43000"/>
    <n v="4300"/>
    <n v="38700"/>
  </r>
  <r>
    <s v="ORD-00382"/>
    <x v="10"/>
    <x v="45"/>
    <x v="0"/>
    <x v="24"/>
    <x v="0"/>
    <x v="2"/>
    <x v="9"/>
    <n v="5"/>
    <n v="3100"/>
    <n v="0.1"/>
    <x v="0"/>
    <x v="8"/>
    <n v="15500"/>
    <n v="1550"/>
    <n v="13950"/>
  </r>
  <r>
    <s v="ORD-00383"/>
    <x v="196"/>
    <x v="1"/>
    <x v="0"/>
    <x v="29"/>
    <x v="3"/>
    <x v="5"/>
    <x v="21"/>
    <n v="6"/>
    <n v="20800"/>
    <n v="0.05"/>
    <x v="1"/>
    <x v="5"/>
    <n v="124800"/>
    <n v="6240"/>
    <n v="118560"/>
  </r>
  <r>
    <s v="ORD-00384"/>
    <x v="117"/>
    <x v="49"/>
    <x v="0"/>
    <x v="28"/>
    <x v="0"/>
    <x v="4"/>
    <x v="19"/>
    <n v="1"/>
    <n v="37700"/>
    <n v="7.0000000000000007E-2"/>
    <x v="2"/>
    <x v="6"/>
    <n v="37700"/>
    <n v="2639.0000000000005"/>
    <n v="35061"/>
  </r>
  <r>
    <s v="ORD-00385"/>
    <x v="84"/>
    <x v="8"/>
    <x v="0"/>
    <x v="40"/>
    <x v="5"/>
    <x v="2"/>
    <x v="9"/>
    <n v="5"/>
    <n v="4100"/>
    <n v="0.05"/>
    <x v="1"/>
    <x v="3"/>
    <n v="20500"/>
    <n v="1025"/>
    <n v="19475"/>
  </r>
  <r>
    <s v="ORD-00386"/>
    <x v="243"/>
    <x v="26"/>
    <x v="1"/>
    <x v="5"/>
    <x v="5"/>
    <x v="1"/>
    <x v="11"/>
    <n v="6"/>
    <n v="94000"/>
    <n v="0.02"/>
    <x v="0"/>
    <x v="2"/>
    <n v="564000"/>
    <n v="11280"/>
    <n v="552720"/>
  </r>
  <r>
    <s v="ORD-00387"/>
    <x v="25"/>
    <x v="11"/>
    <x v="0"/>
    <x v="26"/>
    <x v="5"/>
    <x v="0"/>
    <x v="12"/>
    <n v="10"/>
    <n v="10100"/>
    <n v="0.1"/>
    <x v="2"/>
    <x v="4"/>
    <n v="101000"/>
    <n v="10100"/>
    <n v="90900"/>
  </r>
  <r>
    <s v="ORD-00388"/>
    <x v="244"/>
    <x v="12"/>
    <x v="1"/>
    <x v="40"/>
    <x v="4"/>
    <x v="5"/>
    <x v="8"/>
    <n v="4"/>
    <n v="4400"/>
    <n v="0.2"/>
    <x v="0"/>
    <x v="9"/>
    <n v="17600"/>
    <n v="3520"/>
    <n v="14080"/>
  </r>
  <r>
    <s v="ORD-00389"/>
    <x v="245"/>
    <x v="31"/>
    <x v="0"/>
    <x v="46"/>
    <x v="3"/>
    <x v="1"/>
    <x v="3"/>
    <n v="6"/>
    <n v="116300"/>
    <n v="0.15"/>
    <x v="1"/>
    <x v="0"/>
    <n v="697800"/>
    <n v="104670"/>
    <n v="593130"/>
  </r>
  <r>
    <s v="ORD-00390"/>
    <x v="149"/>
    <x v="42"/>
    <x v="0"/>
    <x v="12"/>
    <x v="1"/>
    <x v="3"/>
    <x v="7"/>
    <n v="3"/>
    <n v="14700"/>
    <n v="0.12"/>
    <x v="1"/>
    <x v="5"/>
    <n v="44100"/>
    <n v="5292"/>
    <n v="38808"/>
  </r>
  <r>
    <s v="ORD-00391"/>
    <x v="246"/>
    <x v="43"/>
    <x v="1"/>
    <x v="4"/>
    <x v="1"/>
    <x v="1"/>
    <x v="3"/>
    <n v="2"/>
    <n v="154200"/>
    <n v="0.05"/>
    <x v="1"/>
    <x v="9"/>
    <n v="308400"/>
    <n v="15420"/>
    <n v="292980"/>
  </r>
  <r>
    <s v="ORD-00392"/>
    <x v="101"/>
    <x v="20"/>
    <x v="1"/>
    <x v="8"/>
    <x v="5"/>
    <x v="4"/>
    <x v="19"/>
    <n v="1"/>
    <n v="25200"/>
    <n v="0.2"/>
    <x v="0"/>
    <x v="2"/>
    <n v="25200"/>
    <n v="5040"/>
    <n v="20160"/>
  </r>
  <r>
    <s v="ORD-00393"/>
    <x v="215"/>
    <x v="42"/>
    <x v="0"/>
    <x v="15"/>
    <x v="1"/>
    <x v="3"/>
    <x v="4"/>
    <n v="4"/>
    <n v="177600"/>
    <n v="0.12"/>
    <x v="2"/>
    <x v="8"/>
    <n v="710400"/>
    <n v="85248"/>
    <n v="625152"/>
  </r>
  <r>
    <s v="ORD-00394"/>
    <x v="247"/>
    <x v="27"/>
    <x v="1"/>
    <x v="10"/>
    <x v="4"/>
    <x v="0"/>
    <x v="0"/>
    <n v="1"/>
    <n v="1600"/>
    <n v="0.1"/>
    <x v="2"/>
    <x v="0"/>
    <n v="1600"/>
    <n v="160"/>
    <n v="1440"/>
  </r>
  <r>
    <s v="ORD-00395"/>
    <x v="248"/>
    <x v="25"/>
    <x v="1"/>
    <x v="15"/>
    <x v="0"/>
    <x v="4"/>
    <x v="5"/>
    <n v="8"/>
    <n v="179800"/>
    <n v="0.12"/>
    <x v="0"/>
    <x v="8"/>
    <n v="1438400"/>
    <n v="172608"/>
    <n v="1265792"/>
  </r>
  <r>
    <s v="ORD-00396"/>
    <x v="238"/>
    <x v="0"/>
    <x v="0"/>
    <x v="3"/>
    <x v="1"/>
    <x v="2"/>
    <x v="2"/>
    <n v="1"/>
    <n v="3400"/>
    <n v="0.2"/>
    <x v="0"/>
    <x v="4"/>
    <n v="3400"/>
    <n v="680"/>
    <n v="2720"/>
  </r>
  <r>
    <s v="ORD-00397"/>
    <x v="153"/>
    <x v="36"/>
    <x v="0"/>
    <x v="6"/>
    <x v="3"/>
    <x v="4"/>
    <x v="14"/>
    <n v="9"/>
    <n v="27600"/>
    <n v="0"/>
    <x v="1"/>
    <x v="5"/>
    <n v="248400"/>
    <n v="0"/>
    <n v="248400"/>
  </r>
  <r>
    <s v="ORD-00398"/>
    <x v="65"/>
    <x v="9"/>
    <x v="1"/>
    <x v="6"/>
    <x v="3"/>
    <x v="3"/>
    <x v="4"/>
    <n v="8"/>
    <n v="199600"/>
    <n v="0.15"/>
    <x v="0"/>
    <x v="3"/>
    <n v="1596800"/>
    <n v="239520"/>
    <n v="1357280"/>
  </r>
  <r>
    <s v="ORD-00399"/>
    <x v="44"/>
    <x v="30"/>
    <x v="0"/>
    <x v="25"/>
    <x v="1"/>
    <x v="1"/>
    <x v="10"/>
    <n v="7"/>
    <n v="34900"/>
    <n v="0.02"/>
    <x v="1"/>
    <x v="3"/>
    <n v="244300"/>
    <n v="4886"/>
    <n v="239414"/>
  </r>
  <r>
    <s v="ORD-00400"/>
    <x v="55"/>
    <x v="41"/>
    <x v="0"/>
    <x v="42"/>
    <x v="2"/>
    <x v="1"/>
    <x v="1"/>
    <n v="2"/>
    <n v="57200"/>
    <n v="0.2"/>
    <x v="1"/>
    <x v="1"/>
    <n v="114400"/>
    <n v="22880"/>
    <n v="91520"/>
  </r>
  <r>
    <s v="ORD-00401"/>
    <x v="217"/>
    <x v="26"/>
    <x v="1"/>
    <x v="0"/>
    <x v="3"/>
    <x v="4"/>
    <x v="5"/>
    <n v="4"/>
    <n v="249600"/>
    <n v="0.1"/>
    <x v="1"/>
    <x v="6"/>
    <n v="998400"/>
    <n v="99840"/>
    <n v="898560"/>
  </r>
  <r>
    <s v="ORD-00402"/>
    <x v="249"/>
    <x v="36"/>
    <x v="0"/>
    <x v="46"/>
    <x v="0"/>
    <x v="1"/>
    <x v="10"/>
    <n v="8"/>
    <n v="43000"/>
    <n v="7.0000000000000007E-2"/>
    <x v="1"/>
    <x v="0"/>
    <n v="344000"/>
    <n v="24080.000000000004"/>
    <n v="319920"/>
  </r>
  <r>
    <s v="ORD-00403"/>
    <x v="163"/>
    <x v="5"/>
    <x v="1"/>
    <x v="39"/>
    <x v="3"/>
    <x v="2"/>
    <x v="20"/>
    <n v="2"/>
    <n v="2400"/>
    <n v="0.18"/>
    <x v="0"/>
    <x v="4"/>
    <n v="4800"/>
    <n v="864"/>
    <n v="3936"/>
  </r>
  <r>
    <s v="ORD-00404"/>
    <x v="250"/>
    <x v="45"/>
    <x v="0"/>
    <x v="9"/>
    <x v="2"/>
    <x v="3"/>
    <x v="23"/>
    <n v="4"/>
    <n v="144500"/>
    <n v="0.18"/>
    <x v="2"/>
    <x v="7"/>
    <n v="578000"/>
    <n v="104040"/>
    <n v="473960"/>
  </r>
  <r>
    <s v="ORD-00405"/>
    <x v="251"/>
    <x v="12"/>
    <x v="1"/>
    <x v="5"/>
    <x v="1"/>
    <x v="3"/>
    <x v="23"/>
    <n v="6"/>
    <n v="107200"/>
    <n v="0.15"/>
    <x v="1"/>
    <x v="4"/>
    <n v="643200"/>
    <n v="96480"/>
    <n v="546720"/>
  </r>
  <r>
    <s v="ORD-00406"/>
    <x v="252"/>
    <x v="1"/>
    <x v="0"/>
    <x v="23"/>
    <x v="3"/>
    <x v="1"/>
    <x v="3"/>
    <n v="6"/>
    <n v="133100"/>
    <n v="0.18"/>
    <x v="1"/>
    <x v="7"/>
    <n v="798600"/>
    <n v="143748"/>
    <n v="654852"/>
  </r>
  <r>
    <s v="ORD-00407"/>
    <x v="177"/>
    <x v="46"/>
    <x v="0"/>
    <x v="24"/>
    <x v="1"/>
    <x v="3"/>
    <x v="7"/>
    <n v="8"/>
    <n v="15300"/>
    <n v="0.1"/>
    <x v="2"/>
    <x v="0"/>
    <n v="122400"/>
    <n v="12240"/>
    <n v="110160"/>
  </r>
  <r>
    <s v="ORD-00408"/>
    <x v="92"/>
    <x v="7"/>
    <x v="0"/>
    <x v="34"/>
    <x v="3"/>
    <x v="1"/>
    <x v="10"/>
    <n v="3"/>
    <n v="52700"/>
    <n v="0.02"/>
    <x v="2"/>
    <x v="1"/>
    <n v="158100"/>
    <n v="3162"/>
    <n v="154938"/>
  </r>
  <r>
    <s v="ORD-00409"/>
    <x v="253"/>
    <x v="23"/>
    <x v="1"/>
    <x v="44"/>
    <x v="5"/>
    <x v="1"/>
    <x v="1"/>
    <n v="6"/>
    <n v="55500"/>
    <n v="0"/>
    <x v="1"/>
    <x v="8"/>
    <n v="333000"/>
    <n v="0"/>
    <n v="333000"/>
  </r>
  <r>
    <s v="ORD-00410"/>
    <x v="253"/>
    <x v="49"/>
    <x v="0"/>
    <x v="0"/>
    <x v="5"/>
    <x v="4"/>
    <x v="17"/>
    <n v="5"/>
    <n v="266600"/>
    <n v="0.12"/>
    <x v="0"/>
    <x v="3"/>
    <n v="1333000"/>
    <n v="159960"/>
    <n v="1173040"/>
  </r>
  <r>
    <s v="ORD-00411"/>
    <x v="254"/>
    <x v="47"/>
    <x v="1"/>
    <x v="33"/>
    <x v="1"/>
    <x v="2"/>
    <x v="9"/>
    <n v="9"/>
    <n v="4100"/>
    <n v="0.02"/>
    <x v="2"/>
    <x v="6"/>
    <n v="36900"/>
    <n v="738"/>
    <n v="36162"/>
  </r>
  <r>
    <s v="ORD-00412"/>
    <x v="10"/>
    <x v="15"/>
    <x v="0"/>
    <x v="21"/>
    <x v="2"/>
    <x v="2"/>
    <x v="6"/>
    <n v="9"/>
    <n v="4100"/>
    <n v="0"/>
    <x v="0"/>
    <x v="8"/>
    <n v="36900"/>
    <n v="0"/>
    <n v="36900"/>
  </r>
  <r>
    <s v="ORD-00413"/>
    <x v="96"/>
    <x v="30"/>
    <x v="0"/>
    <x v="47"/>
    <x v="1"/>
    <x v="3"/>
    <x v="7"/>
    <n v="4"/>
    <n v="14600"/>
    <n v="0.12"/>
    <x v="2"/>
    <x v="5"/>
    <n v="58400"/>
    <n v="7008"/>
    <n v="51392"/>
  </r>
  <r>
    <s v="ORD-00414"/>
    <x v="130"/>
    <x v="33"/>
    <x v="1"/>
    <x v="36"/>
    <x v="2"/>
    <x v="4"/>
    <x v="19"/>
    <n v="2"/>
    <n v="32700"/>
    <n v="0.18"/>
    <x v="2"/>
    <x v="1"/>
    <n v="65400"/>
    <n v="11772"/>
    <n v="53628"/>
  </r>
  <r>
    <s v="ORD-00415"/>
    <x v="53"/>
    <x v="24"/>
    <x v="1"/>
    <x v="47"/>
    <x v="5"/>
    <x v="0"/>
    <x v="18"/>
    <n v="1"/>
    <n v="3500"/>
    <n v="0.02"/>
    <x v="2"/>
    <x v="9"/>
    <n v="3500"/>
    <n v="70"/>
    <n v="3430"/>
  </r>
  <r>
    <s v="ORD-00416"/>
    <x v="255"/>
    <x v="34"/>
    <x v="1"/>
    <x v="36"/>
    <x v="3"/>
    <x v="3"/>
    <x v="23"/>
    <n v="9"/>
    <n v="126600"/>
    <n v="7.0000000000000007E-2"/>
    <x v="1"/>
    <x v="0"/>
    <n v="1139400"/>
    <n v="79758.000000000015"/>
    <n v="1059642"/>
  </r>
  <r>
    <s v="ORD-00417"/>
    <x v="256"/>
    <x v="46"/>
    <x v="0"/>
    <x v="7"/>
    <x v="1"/>
    <x v="4"/>
    <x v="14"/>
    <n v="10"/>
    <n v="24200"/>
    <n v="0.18"/>
    <x v="1"/>
    <x v="2"/>
    <n v="242000"/>
    <n v="43560"/>
    <n v="198440"/>
  </r>
  <r>
    <s v="ORD-00418"/>
    <x v="93"/>
    <x v="28"/>
    <x v="1"/>
    <x v="5"/>
    <x v="2"/>
    <x v="1"/>
    <x v="10"/>
    <n v="6"/>
    <n v="36200"/>
    <n v="0.1"/>
    <x v="1"/>
    <x v="3"/>
    <n v="217200"/>
    <n v="21720"/>
    <n v="195480"/>
  </r>
  <r>
    <s v="ORD-00419"/>
    <x v="98"/>
    <x v="10"/>
    <x v="0"/>
    <x v="5"/>
    <x v="3"/>
    <x v="1"/>
    <x v="1"/>
    <n v="7"/>
    <n v="34600"/>
    <n v="0.02"/>
    <x v="2"/>
    <x v="1"/>
    <n v="242200"/>
    <n v="4844"/>
    <n v="237356"/>
  </r>
  <r>
    <s v="ORD-00420"/>
    <x v="257"/>
    <x v="6"/>
    <x v="1"/>
    <x v="0"/>
    <x v="5"/>
    <x v="1"/>
    <x v="1"/>
    <n v="4"/>
    <n v="57000"/>
    <n v="0.12"/>
    <x v="0"/>
    <x v="9"/>
    <n v="228000"/>
    <n v="27360"/>
    <n v="200640"/>
  </r>
  <r>
    <s v="ORD-00421"/>
    <x v="105"/>
    <x v="44"/>
    <x v="1"/>
    <x v="44"/>
    <x v="4"/>
    <x v="3"/>
    <x v="7"/>
    <n v="10"/>
    <n v="15700"/>
    <n v="0.2"/>
    <x v="0"/>
    <x v="0"/>
    <n v="157000"/>
    <n v="31400"/>
    <n v="125600"/>
  </r>
  <r>
    <s v="ORD-00422"/>
    <x v="246"/>
    <x v="3"/>
    <x v="1"/>
    <x v="38"/>
    <x v="3"/>
    <x v="5"/>
    <x v="21"/>
    <n v="8"/>
    <n v="19600"/>
    <n v="0.2"/>
    <x v="0"/>
    <x v="1"/>
    <n v="156800"/>
    <n v="31360"/>
    <n v="125440"/>
  </r>
  <r>
    <s v="ORD-00423"/>
    <x v="63"/>
    <x v="47"/>
    <x v="1"/>
    <x v="43"/>
    <x v="3"/>
    <x v="4"/>
    <x v="14"/>
    <n v="7"/>
    <n v="23300"/>
    <n v="0.15"/>
    <x v="1"/>
    <x v="6"/>
    <n v="163100"/>
    <n v="24465"/>
    <n v="138635"/>
  </r>
  <r>
    <s v="ORD-00424"/>
    <x v="258"/>
    <x v="22"/>
    <x v="0"/>
    <x v="24"/>
    <x v="0"/>
    <x v="4"/>
    <x v="5"/>
    <n v="7"/>
    <n v="126200"/>
    <n v="0.2"/>
    <x v="2"/>
    <x v="3"/>
    <n v="883400"/>
    <n v="176680"/>
    <n v="706720"/>
  </r>
  <r>
    <s v="ORD-00425"/>
    <x v="259"/>
    <x v="36"/>
    <x v="0"/>
    <x v="38"/>
    <x v="4"/>
    <x v="2"/>
    <x v="2"/>
    <n v="4"/>
    <n v="3400"/>
    <n v="0.1"/>
    <x v="1"/>
    <x v="2"/>
    <n v="13600"/>
    <n v="1360"/>
    <n v="12240"/>
  </r>
  <r>
    <s v="ORD-00426"/>
    <x v="7"/>
    <x v="32"/>
    <x v="0"/>
    <x v="12"/>
    <x v="2"/>
    <x v="1"/>
    <x v="11"/>
    <n v="6"/>
    <n v="85100"/>
    <n v="0.2"/>
    <x v="2"/>
    <x v="1"/>
    <n v="510600"/>
    <n v="102120"/>
    <n v="408480"/>
  </r>
  <r>
    <s v="ORD-00427"/>
    <x v="76"/>
    <x v="13"/>
    <x v="0"/>
    <x v="12"/>
    <x v="5"/>
    <x v="2"/>
    <x v="9"/>
    <n v="1"/>
    <n v="3700"/>
    <n v="0.2"/>
    <x v="0"/>
    <x v="5"/>
    <n v="3700"/>
    <n v="740"/>
    <n v="2960"/>
  </r>
  <r>
    <s v="ORD-00428"/>
    <x v="83"/>
    <x v="16"/>
    <x v="1"/>
    <x v="7"/>
    <x v="2"/>
    <x v="3"/>
    <x v="15"/>
    <n v="3"/>
    <n v="16700"/>
    <n v="0.1"/>
    <x v="1"/>
    <x v="7"/>
    <n v="50100"/>
    <n v="5010"/>
    <n v="45090"/>
  </r>
  <r>
    <s v="ORD-00429"/>
    <x v="111"/>
    <x v="12"/>
    <x v="1"/>
    <x v="25"/>
    <x v="0"/>
    <x v="1"/>
    <x v="10"/>
    <n v="8"/>
    <n v="36800"/>
    <n v="0.02"/>
    <x v="1"/>
    <x v="3"/>
    <n v="294400"/>
    <n v="5888"/>
    <n v="288512"/>
  </r>
  <r>
    <s v="ORD-00430"/>
    <x v="25"/>
    <x v="11"/>
    <x v="0"/>
    <x v="6"/>
    <x v="4"/>
    <x v="4"/>
    <x v="5"/>
    <n v="5"/>
    <n v="223900"/>
    <n v="0"/>
    <x v="2"/>
    <x v="9"/>
    <n v="1119500"/>
    <n v="0"/>
    <n v="1119500"/>
  </r>
  <r>
    <s v="ORD-00431"/>
    <x v="260"/>
    <x v="19"/>
    <x v="1"/>
    <x v="27"/>
    <x v="4"/>
    <x v="3"/>
    <x v="4"/>
    <n v="4"/>
    <n v="177900"/>
    <n v="0.18"/>
    <x v="0"/>
    <x v="2"/>
    <n v="711600"/>
    <n v="128088"/>
    <n v="583512"/>
  </r>
  <r>
    <s v="ORD-00432"/>
    <x v="110"/>
    <x v="8"/>
    <x v="0"/>
    <x v="38"/>
    <x v="4"/>
    <x v="1"/>
    <x v="3"/>
    <n v="8"/>
    <n v="128600"/>
    <n v="0.05"/>
    <x v="1"/>
    <x v="4"/>
    <n v="1028800"/>
    <n v="51440"/>
    <n v="977360"/>
  </r>
  <r>
    <s v="ORD-00433"/>
    <x v="197"/>
    <x v="48"/>
    <x v="0"/>
    <x v="38"/>
    <x v="4"/>
    <x v="3"/>
    <x v="7"/>
    <n v="7"/>
    <n v="12300"/>
    <n v="0.1"/>
    <x v="1"/>
    <x v="7"/>
    <n v="86100"/>
    <n v="8610"/>
    <n v="77490"/>
  </r>
  <r>
    <s v="ORD-00434"/>
    <x v="99"/>
    <x v="18"/>
    <x v="0"/>
    <x v="11"/>
    <x v="0"/>
    <x v="3"/>
    <x v="23"/>
    <n v="3"/>
    <n v="121100"/>
    <n v="0"/>
    <x v="0"/>
    <x v="2"/>
    <n v="363300"/>
    <n v="0"/>
    <n v="363300"/>
  </r>
  <r>
    <s v="ORD-00435"/>
    <x v="27"/>
    <x v="12"/>
    <x v="1"/>
    <x v="40"/>
    <x v="4"/>
    <x v="2"/>
    <x v="9"/>
    <n v="10"/>
    <n v="4000"/>
    <n v="0.2"/>
    <x v="2"/>
    <x v="4"/>
    <n v="40000"/>
    <n v="8000"/>
    <n v="32000"/>
  </r>
  <r>
    <s v="ORD-00436"/>
    <x v="192"/>
    <x v="42"/>
    <x v="0"/>
    <x v="15"/>
    <x v="1"/>
    <x v="1"/>
    <x v="10"/>
    <n v="9"/>
    <n v="50800"/>
    <n v="0.05"/>
    <x v="2"/>
    <x v="3"/>
    <n v="457200"/>
    <n v="22860"/>
    <n v="434340"/>
  </r>
  <r>
    <s v="ORD-00437"/>
    <x v="234"/>
    <x v="22"/>
    <x v="0"/>
    <x v="16"/>
    <x v="0"/>
    <x v="1"/>
    <x v="3"/>
    <n v="6"/>
    <n v="176900"/>
    <n v="0.12"/>
    <x v="2"/>
    <x v="7"/>
    <n v="1061400"/>
    <n v="127368"/>
    <n v="934032"/>
  </r>
  <r>
    <s v="ORD-00438"/>
    <x v="173"/>
    <x v="1"/>
    <x v="0"/>
    <x v="41"/>
    <x v="4"/>
    <x v="4"/>
    <x v="17"/>
    <n v="6"/>
    <n v="280100"/>
    <n v="0.18"/>
    <x v="0"/>
    <x v="1"/>
    <n v="1680600"/>
    <n v="302508"/>
    <n v="1378092"/>
  </r>
  <r>
    <s v="ORD-00439"/>
    <x v="100"/>
    <x v="5"/>
    <x v="1"/>
    <x v="23"/>
    <x v="2"/>
    <x v="0"/>
    <x v="16"/>
    <n v="7"/>
    <n v="38700"/>
    <n v="0.1"/>
    <x v="1"/>
    <x v="7"/>
    <n v="270900"/>
    <n v="27090"/>
    <n v="243810"/>
  </r>
  <r>
    <s v="ORD-00440"/>
    <x v="194"/>
    <x v="3"/>
    <x v="1"/>
    <x v="17"/>
    <x v="4"/>
    <x v="5"/>
    <x v="21"/>
    <n v="1"/>
    <n v="18000"/>
    <n v="0.1"/>
    <x v="1"/>
    <x v="6"/>
    <n v="18000"/>
    <n v="1800"/>
    <n v="16200"/>
  </r>
  <r>
    <s v="ORD-00441"/>
    <x v="136"/>
    <x v="39"/>
    <x v="1"/>
    <x v="16"/>
    <x v="3"/>
    <x v="1"/>
    <x v="10"/>
    <n v="2"/>
    <n v="45500"/>
    <n v="7.0000000000000007E-2"/>
    <x v="1"/>
    <x v="6"/>
    <n v="91000"/>
    <n v="6370.0000000000009"/>
    <n v="84630"/>
  </r>
  <r>
    <s v="ORD-00442"/>
    <x v="261"/>
    <x v="20"/>
    <x v="1"/>
    <x v="5"/>
    <x v="1"/>
    <x v="5"/>
    <x v="21"/>
    <n v="2"/>
    <n v="20600"/>
    <n v="0.05"/>
    <x v="0"/>
    <x v="0"/>
    <n v="41200"/>
    <n v="2060"/>
    <n v="39140"/>
  </r>
  <r>
    <s v="ORD-00443"/>
    <x v="163"/>
    <x v="17"/>
    <x v="0"/>
    <x v="16"/>
    <x v="3"/>
    <x v="3"/>
    <x v="15"/>
    <n v="9"/>
    <n v="16300"/>
    <n v="0.02"/>
    <x v="1"/>
    <x v="6"/>
    <n v="146700"/>
    <n v="2934"/>
    <n v="143766"/>
  </r>
  <r>
    <s v="ORD-00444"/>
    <x v="262"/>
    <x v="40"/>
    <x v="1"/>
    <x v="20"/>
    <x v="5"/>
    <x v="2"/>
    <x v="6"/>
    <n v="6"/>
    <n v="5300"/>
    <n v="0"/>
    <x v="2"/>
    <x v="4"/>
    <n v="31800"/>
    <n v="0"/>
    <n v="31800"/>
  </r>
  <r>
    <s v="ORD-00445"/>
    <x v="263"/>
    <x v="14"/>
    <x v="1"/>
    <x v="6"/>
    <x v="2"/>
    <x v="5"/>
    <x v="8"/>
    <n v="10"/>
    <n v="5600"/>
    <n v="0"/>
    <x v="1"/>
    <x v="4"/>
    <n v="56000"/>
    <n v="0"/>
    <n v="56000"/>
  </r>
  <r>
    <s v="ORD-00446"/>
    <x v="249"/>
    <x v="39"/>
    <x v="1"/>
    <x v="5"/>
    <x v="0"/>
    <x v="2"/>
    <x v="9"/>
    <n v="2"/>
    <n v="4500"/>
    <n v="0.1"/>
    <x v="2"/>
    <x v="9"/>
    <n v="9000"/>
    <n v="900"/>
    <n v="8100"/>
  </r>
  <r>
    <s v="ORD-00447"/>
    <x v="88"/>
    <x v="13"/>
    <x v="0"/>
    <x v="32"/>
    <x v="5"/>
    <x v="1"/>
    <x v="3"/>
    <n v="7"/>
    <n v="107900"/>
    <n v="0.2"/>
    <x v="2"/>
    <x v="8"/>
    <n v="755300"/>
    <n v="151060"/>
    <n v="604240"/>
  </r>
  <r>
    <s v="ORD-00448"/>
    <x v="40"/>
    <x v="19"/>
    <x v="1"/>
    <x v="9"/>
    <x v="2"/>
    <x v="0"/>
    <x v="18"/>
    <n v="9"/>
    <n v="3600"/>
    <n v="0.05"/>
    <x v="0"/>
    <x v="5"/>
    <n v="32400"/>
    <n v="1620"/>
    <n v="30780"/>
  </r>
  <r>
    <s v="ORD-00449"/>
    <x v="246"/>
    <x v="23"/>
    <x v="1"/>
    <x v="42"/>
    <x v="5"/>
    <x v="5"/>
    <x v="8"/>
    <n v="4"/>
    <n v="3700"/>
    <n v="0.12"/>
    <x v="0"/>
    <x v="9"/>
    <n v="14800"/>
    <n v="1776"/>
    <n v="13024"/>
  </r>
  <r>
    <s v="ORD-00450"/>
    <x v="184"/>
    <x v="39"/>
    <x v="1"/>
    <x v="30"/>
    <x v="1"/>
    <x v="1"/>
    <x v="3"/>
    <n v="5"/>
    <n v="170900"/>
    <n v="7.0000000000000007E-2"/>
    <x v="0"/>
    <x v="8"/>
    <n v="854500"/>
    <n v="59815.000000000007"/>
    <n v="794685"/>
  </r>
  <r>
    <s v="ORD-00451"/>
    <x v="264"/>
    <x v="23"/>
    <x v="1"/>
    <x v="7"/>
    <x v="4"/>
    <x v="4"/>
    <x v="17"/>
    <n v="2"/>
    <n v="326200"/>
    <n v="0.1"/>
    <x v="0"/>
    <x v="6"/>
    <n v="652400"/>
    <n v="65240"/>
    <n v="587160"/>
  </r>
  <r>
    <s v="ORD-00452"/>
    <x v="113"/>
    <x v="49"/>
    <x v="0"/>
    <x v="24"/>
    <x v="0"/>
    <x v="1"/>
    <x v="3"/>
    <n v="5"/>
    <n v="103100"/>
    <n v="0.02"/>
    <x v="0"/>
    <x v="2"/>
    <n v="515500"/>
    <n v="10310"/>
    <n v="505190"/>
  </r>
  <r>
    <s v="ORD-00453"/>
    <x v="265"/>
    <x v="43"/>
    <x v="1"/>
    <x v="24"/>
    <x v="4"/>
    <x v="2"/>
    <x v="9"/>
    <n v="3"/>
    <n v="4400"/>
    <n v="0.12"/>
    <x v="2"/>
    <x v="9"/>
    <n v="13200"/>
    <n v="1584"/>
    <n v="11616"/>
  </r>
  <r>
    <s v="ORD-00454"/>
    <x v="188"/>
    <x v="14"/>
    <x v="1"/>
    <x v="27"/>
    <x v="1"/>
    <x v="1"/>
    <x v="1"/>
    <n v="6"/>
    <n v="39100"/>
    <n v="0.05"/>
    <x v="1"/>
    <x v="2"/>
    <n v="234600"/>
    <n v="11730"/>
    <n v="222870"/>
  </r>
  <r>
    <s v="ORD-00455"/>
    <x v="225"/>
    <x v="37"/>
    <x v="1"/>
    <x v="2"/>
    <x v="0"/>
    <x v="0"/>
    <x v="16"/>
    <n v="2"/>
    <n v="53100"/>
    <n v="0.05"/>
    <x v="1"/>
    <x v="1"/>
    <n v="106200"/>
    <n v="5310"/>
    <n v="100890"/>
  </r>
  <r>
    <s v="ORD-00456"/>
    <x v="266"/>
    <x v="38"/>
    <x v="0"/>
    <x v="43"/>
    <x v="4"/>
    <x v="1"/>
    <x v="11"/>
    <n v="2"/>
    <n v="80000"/>
    <n v="0"/>
    <x v="1"/>
    <x v="5"/>
    <n v="160000"/>
    <n v="0"/>
    <n v="160000"/>
  </r>
  <r>
    <s v="ORD-00457"/>
    <x v="113"/>
    <x v="4"/>
    <x v="0"/>
    <x v="8"/>
    <x v="4"/>
    <x v="1"/>
    <x v="10"/>
    <n v="5"/>
    <n v="43100"/>
    <n v="0.2"/>
    <x v="1"/>
    <x v="0"/>
    <n v="215500"/>
    <n v="43100"/>
    <n v="172400"/>
  </r>
  <r>
    <s v="ORD-00458"/>
    <x v="267"/>
    <x v="29"/>
    <x v="1"/>
    <x v="30"/>
    <x v="0"/>
    <x v="4"/>
    <x v="5"/>
    <n v="10"/>
    <n v="292400"/>
    <n v="0.1"/>
    <x v="0"/>
    <x v="0"/>
    <n v="2924000"/>
    <n v="292400"/>
    <n v="2631600"/>
  </r>
  <r>
    <s v="ORD-00459"/>
    <x v="107"/>
    <x v="39"/>
    <x v="1"/>
    <x v="16"/>
    <x v="5"/>
    <x v="0"/>
    <x v="18"/>
    <n v="4"/>
    <n v="3900"/>
    <n v="0.05"/>
    <x v="1"/>
    <x v="8"/>
    <n v="15600"/>
    <n v="780"/>
    <n v="14820"/>
  </r>
  <r>
    <s v="ORD-00460"/>
    <x v="164"/>
    <x v="18"/>
    <x v="0"/>
    <x v="19"/>
    <x v="4"/>
    <x v="5"/>
    <x v="13"/>
    <n v="6"/>
    <n v="23800"/>
    <n v="0"/>
    <x v="0"/>
    <x v="0"/>
    <n v="142800"/>
    <n v="0"/>
    <n v="142800"/>
  </r>
  <r>
    <s v="ORD-00461"/>
    <x v="64"/>
    <x v="45"/>
    <x v="0"/>
    <x v="37"/>
    <x v="0"/>
    <x v="1"/>
    <x v="10"/>
    <n v="4"/>
    <n v="46900"/>
    <n v="0.2"/>
    <x v="2"/>
    <x v="9"/>
    <n v="187600"/>
    <n v="37520"/>
    <n v="150080"/>
  </r>
  <r>
    <s v="ORD-00462"/>
    <x v="244"/>
    <x v="37"/>
    <x v="1"/>
    <x v="23"/>
    <x v="3"/>
    <x v="2"/>
    <x v="9"/>
    <n v="9"/>
    <n v="2400"/>
    <n v="0.1"/>
    <x v="1"/>
    <x v="7"/>
    <n v="21600"/>
    <n v="2160"/>
    <n v="19440"/>
  </r>
  <r>
    <s v="ORD-00463"/>
    <x v="11"/>
    <x v="8"/>
    <x v="0"/>
    <x v="33"/>
    <x v="1"/>
    <x v="4"/>
    <x v="19"/>
    <n v="10"/>
    <n v="37000"/>
    <n v="0.02"/>
    <x v="1"/>
    <x v="7"/>
    <n v="370000"/>
    <n v="7400"/>
    <n v="362600"/>
  </r>
  <r>
    <s v="ORD-00464"/>
    <x v="268"/>
    <x v="33"/>
    <x v="1"/>
    <x v="15"/>
    <x v="5"/>
    <x v="0"/>
    <x v="12"/>
    <n v="8"/>
    <n v="12000"/>
    <n v="0"/>
    <x v="1"/>
    <x v="8"/>
    <n v="96000"/>
    <n v="0"/>
    <n v="96000"/>
  </r>
  <r>
    <s v="ORD-00465"/>
    <x v="210"/>
    <x v="18"/>
    <x v="0"/>
    <x v="3"/>
    <x v="3"/>
    <x v="5"/>
    <x v="22"/>
    <n v="3"/>
    <n v="3900"/>
    <n v="0.05"/>
    <x v="0"/>
    <x v="2"/>
    <n v="11700"/>
    <n v="585"/>
    <n v="11115"/>
  </r>
  <r>
    <s v="ORD-00466"/>
    <x v="269"/>
    <x v="36"/>
    <x v="0"/>
    <x v="0"/>
    <x v="2"/>
    <x v="1"/>
    <x v="1"/>
    <n v="6"/>
    <n v="56600"/>
    <n v="0.02"/>
    <x v="2"/>
    <x v="0"/>
    <n v="339600"/>
    <n v="6792"/>
    <n v="332808"/>
  </r>
  <r>
    <s v="ORD-00467"/>
    <x v="225"/>
    <x v="2"/>
    <x v="1"/>
    <x v="11"/>
    <x v="1"/>
    <x v="2"/>
    <x v="6"/>
    <n v="4"/>
    <n v="3600"/>
    <n v="0"/>
    <x v="0"/>
    <x v="1"/>
    <n v="14400"/>
    <n v="0"/>
    <n v="14400"/>
  </r>
  <r>
    <s v="ORD-00468"/>
    <x v="146"/>
    <x v="18"/>
    <x v="0"/>
    <x v="43"/>
    <x v="2"/>
    <x v="5"/>
    <x v="8"/>
    <n v="3"/>
    <n v="4800"/>
    <n v="0"/>
    <x v="0"/>
    <x v="7"/>
    <n v="14400"/>
    <n v="0"/>
    <n v="14400"/>
  </r>
  <r>
    <s v="ORD-00469"/>
    <x v="243"/>
    <x v="3"/>
    <x v="1"/>
    <x v="8"/>
    <x v="4"/>
    <x v="5"/>
    <x v="8"/>
    <n v="5"/>
    <n v="5400"/>
    <n v="0.02"/>
    <x v="0"/>
    <x v="0"/>
    <n v="27000"/>
    <n v="540"/>
    <n v="26460"/>
  </r>
  <r>
    <s v="ORD-00470"/>
    <x v="30"/>
    <x v="30"/>
    <x v="0"/>
    <x v="31"/>
    <x v="1"/>
    <x v="1"/>
    <x v="1"/>
    <n v="3"/>
    <n v="49700"/>
    <n v="0.05"/>
    <x v="1"/>
    <x v="3"/>
    <n v="149100"/>
    <n v="7455"/>
    <n v="141645"/>
  </r>
  <r>
    <s v="ORD-00471"/>
    <x v="236"/>
    <x v="18"/>
    <x v="0"/>
    <x v="9"/>
    <x v="2"/>
    <x v="0"/>
    <x v="16"/>
    <n v="10"/>
    <n v="54500"/>
    <n v="0.02"/>
    <x v="0"/>
    <x v="9"/>
    <n v="545000"/>
    <n v="10900"/>
    <n v="534100"/>
  </r>
  <r>
    <s v="ORD-00472"/>
    <x v="124"/>
    <x v="32"/>
    <x v="0"/>
    <x v="5"/>
    <x v="3"/>
    <x v="1"/>
    <x v="1"/>
    <n v="3"/>
    <n v="57100"/>
    <n v="0.02"/>
    <x v="0"/>
    <x v="0"/>
    <n v="171300"/>
    <n v="3426"/>
    <n v="167874"/>
  </r>
  <r>
    <s v="ORD-00473"/>
    <x v="270"/>
    <x v="25"/>
    <x v="1"/>
    <x v="23"/>
    <x v="4"/>
    <x v="5"/>
    <x v="8"/>
    <n v="8"/>
    <n v="2900"/>
    <n v="0.05"/>
    <x v="1"/>
    <x v="3"/>
    <n v="23200"/>
    <n v="1160"/>
    <n v="22040"/>
  </r>
  <r>
    <s v="ORD-00474"/>
    <x v="207"/>
    <x v="29"/>
    <x v="1"/>
    <x v="44"/>
    <x v="2"/>
    <x v="4"/>
    <x v="19"/>
    <n v="1"/>
    <n v="37100"/>
    <n v="0.2"/>
    <x v="2"/>
    <x v="6"/>
    <n v="37100"/>
    <n v="7420"/>
    <n v="29680"/>
  </r>
  <r>
    <s v="ORD-00475"/>
    <x v="10"/>
    <x v="29"/>
    <x v="1"/>
    <x v="20"/>
    <x v="0"/>
    <x v="5"/>
    <x v="8"/>
    <n v="3"/>
    <n v="4200"/>
    <n v="0.1"/>
    <x v="2"/>
    <x v="6"/>
    <n v="12600"/>
    <n v="1260"/>
    <n v="11340"/>
  </r>
  <r>
    <s v="ORD-00476"/>
    <x v="271"/>
    <x v="26"/>
    <x v="1"/>
    <x v="42"/>
    <x v="4"/>
    <x v="4"/>
    <x v="14"/>
    <n v="1"/>
    <n v="18100"/>
    <n v="0"/>
    <x v="1"/>
    <x v="3"/>
    <n v="18100"/>
    <n v="0"/>
    <n v="18100"/>
  </r>
  <r>
    <s v="ORD-00477"/>
    <x v="217"/>
    <x v="3"/>
    <x v="1"/>
    <x v="39"/>
    <x v="5"/>
    <x v="2"/>
    <x v="2"/>
    <n v="6"/>
    <n v="4400"/>
    <n v="0.15"/>
    <x v="2"/>
    <x v="4"/>
    <n v="26400"/>
    <n v="3960"/>
    <n v="22440"/>
  </r>
  <r>
    <s v="ORD-00478"/>
    <x v="272"/>
    <x v="20"/>
    <x v="1"/>
    <x v="6"/>
    <x v="4"/>
    <x v="0"/>
    <x v="12"/>
    <n v="7"/>
    <n v="12400"/>
    <n v="0.12"/>
    <x v="1"/>
    <x v="7"/>
    <n v="86800"/>
    <n v="10416"/>
    <n v="76384"/>
  </r>
  <r>
    <s v="ORD-00479"/>
    <x v="168"/>
    <x v="22"/>
    <x v="0"/>
    <x v="18"/>
    <x v="5"/>
    <x v="5"/>
    <x v="21"/>
    <n v="6"/>
    <n v="12900"/>
    <n v="0.2"/>
    <x v="1"/>
    <x v="0"/>
    <n v="77400"/>
    <n v="15480"/>
    <n v="61920"/>
  </r>
  <r>
    <s v="ORD-00480"/>
    <x v="44"/>
    <x v="31"/>
    <x v="0"/>
    <x v="33"/>
    <x v="0"/>
    <x v="2"/>
    <x v="6"/>
    <n v="2"/>
    <n v="4100"/>
    <n v="7.0000000000000007E-2"/>
    <x v="2"/>
    <x v="8"/>
    <n v="8200"/>
    <n v="574"/>
    <n v="7626"/>
  </r>
  <r>
    <s v="ORD-00481"/>
    <x v="211"/>
    <x v="2"/>
    <x v="1"/>
    <x v="10"/>
    <x v="5"/>
    <x v="0"/>
    <x v="18"/>
    <n v="7"/>
    <n v="2800"/>
    <n v="0"/>
    <x v="0"/>
    <x v="8"/>
    <n v="19600"/>
    <n v="0"/>
    <n v="19600"/>
  </r>
  <r>
    <s v="ORD-00482"/>
    <x v="157"/>
    <x v="25"/>
    <x v="1"/>
    <x v="35"/>
    <x v="3"/>
    <x v="3"/>
    <x v="23"/>
    <n v="6"/>
    <n v="89100"/>
    <n v="0.02"/>
    <x v="1"/>
    <x v="5"/>
    <n v="534600"/>
    <n v="10692"/>
    <n v="523908"/>
  </r>
  <r>
    <s v="ORD-00483"/>
    <x v="38"/>
    <x v="22"/>
    <x v="0"/>
    <x v="41"/>
    <x v="2"/>
    <x v="5"/>
    <x v="22"/>
    <n v="10"/>
    <n v="5900"/>
    <n v="0"/>
    <x v="0"/>
    <x v="0"/>
    <n v="59000"/>
    <n v="0"/>
    <n v="59000"/>
  </r>
  <r>
    <s v="ORD-00484"/>
    <x v="3"/>
    <x v="14"/>
    <x v="1"/>
    <x v="45"/>
    <x v="2"/>
    <x v="5"/>
    <x v="22"/>
    <n v="1"/>
    <n v="3800"/>
    <n v="0.2"/>
    <x v="1"/>
    <x v="6"/>
    <n v="3800"/>
    <n v="760"/>
    <n v="3040"/>
  </r>
  <r>
    <s v="ORD-00485"/>
    <x v="270"/>
    <x v="18"/>
    <x v="0"/>
    <x v="44"/>
    <x v="3"/>
    <x v="0"/>
    <x v="0"/>
    <n v="1"/>
    <n v="2800"/>
    <n v="0.05"/>
    <x v="0"/>
    <x v="7"/>
    <n v="2800"/>
    <n v="140"/>
    <n v="2660"/>
  </r>
  <r>
    <s v="ORD-00486"/>
    <x v="26"/>
    <x v="15"/>
    <x v="0"/>
    <x v="21"/>
    <x v="5"/>
    <x v="4"/>
    <x v="5"/>
    <n v="1"/>
    <n v="225700"/>
    <n v="0.02"/>
    <x v="0"/>
    <x v="3"/>
    <n v="225700"/>
    <n v="4514"/>
    <n v="221186"/>
  </r>
  <r>
    <s v="ORD-00487"/>
    <x v="116"/>
    <x v="47"/>
    <x v="1"/>
    <x v="36"/>
    <x v="4"/>
    <x v="0"/>
    <x v="12"/>
    <n v="5"/>
    <n v="14700"/>
    <n v="7.0000000000000007E-2"/>
    <x v="1"/>
    <x v="6"/>
    <n v="73500"/>
    <n v="5145.0000000000009"/>
    <n v="68355"/>
  </r>
  <r>
    <s v="ORD-00488"/>
    <x v="162"/>
    <x v="22"/>
    <x v="0"/>
    <x v="33"/>
    <x v="3"/>
    <x v="0"/>
    <x v="0"/>
    <n v="9"/>
    <n v="2300"/>
    <n v="0.02"/>
    <x v="1"/>
    <x v="4"/>
    <n v="20700"/>
    <n v="414"/>
    <n v="20286"/>
  </r>
  <r>
    <s v="ORD-00489"/>
    <x v="235"/>
    <x v="26"/>
    <x v="1"/>
    <x v="24"/>
    <x v="3"/>
    <x v="5"/>
    <x v="22"/>
    <n v="9"/>
    <n v="6600"/>
    <n v="0.1"/>
    <x v="1"/>
    <x v="0"/>
    <n v="59400"/>
    <n v="5940"/>
    <n v="53460"/>
  </r>
  <r>
    <s v="ORD-00490"/>
    <x v="183"/>
    <x v="23"/>
    <x v="1"/>
    <x v="31"/>
    <x v="1"/>
    <x v="0"/>
    <x v="16"/>
    <n v="8"/>
    <n v="57300"/>
    <n v="0"/>
    <x v="2"/>
    <x v="4"/>
    <n v="458400"/>
    <n v="0"/>
    <n v="458400"/>
  </r>
  <r>
    <s v="ORD-00491"/>
    <x v="262"/>
    <x v="45"/>
    <x v="0"/>
    <x v="20"/>
    <x v="2"/>
    <x v="1"/>
    <x v="3"/>
    <n v="7"/>
    <n v="131400"/>
    <n v="0.12"/>
    <x v="1"/>
    <x v="3"/>
    <n v="919800"/>
    <n v="110376"/>
    <n v="809424"/>
  </r>
  <r>
    <s v="ORD-00492"/>
    <x v="151"/>
    <x v="10"/>
    <x v="0"/>
    <x v="37"/>
    <x v="1"/>
    <x v="0"/>
    <x v="18"/>
    <n v="6"/>
    <n v="3300"/>
    <n v="0.02"/>
    <x v="1"/>
    <x v="8"/>
    <n v="19800"/>
    <n v="396"/>
    <n v="19404"/>
  </r>
  <r>
    <s v="ORD-00493"/>
    <x v="273"/>
    <x v="42"/>
    <x v="0"/>
    <x v="22"/>
    <x v="1"/>
    <x v="5"/>
    <x v="22"/>
    <n v="4"/>
    <n v="3700"/>
    <n v="0.18"/>
    <x v="1"/>
    <x v="6"/>
    <n v="14800"/>
    <n v="2664"/>
    <n v="12136"/>
  </r>
  <r>
    <s v="ORD-00494"/>
    <x v="274"/>
    <x v="11"/>
    <x v="0"/>
    <x v="29"/>
    <x v="0"/>
    <x v="1"/>
    <x v="3"/>
    <n v="4"/>
    <n v="116600"/>
    <n v="0.12"/>
    <x v="0"/>
    <x v="4"/>
    <n v="466400"/>
    <n v="55968"/>
    <n v="410432"/>
  </r>
  <r>
    <s v="ORD-00495"/>
    <x v="224"/>
    <x v="24"/>
    <x v="1"/>
    <x v="44"/>
    <x v="2"/>
    <x v="4"/>
    <x v="17"/>
    <n v="1"/>
    <n v="391900"/>
    <n v="0.18"/>
    <x v="2"/>
    <x v="1"/>
    <n v="391900"/>
    <n v="70542"/>
    <n v="321358"/>
  </r>
  <r>
    <s v="ORD-00496"/>
    <x v="223"/>
    <x v="49"/>
    <x v="0"/>
    <x v="33"/>
    <x v="0"/>
    <x v="4"/>
    <x v="5"/>
    <n v="9"/>
    <n v="290300"/>
    <n v="0.1"/>
    <x v="2"/>
    <x v="6"/>
    <n v="2612700"/>
    <n v="261270"/>
    <n v="2351430"/>
  </r>
  <r>
    <s v="ORD-00497"/>
    <x v="254"/>
    <x v="32"/>
    <x v="0"/>
    <x v="7"/>
    <x v="4"/>
    <x v="4"/>
    <x v="19"/>
    <n v="1"/>
    <n v="42700"/>
    <n v="0.2"/>
    <x v="2"/>
    <x v="9"/>
    <n v="42700"/>
    <n v="8540"/>
    <n v="34160"/>
  </r>
  <r>
    <s v="ORD-00498"/>
    <x v="84"/>
    <x v="29"/>
    <x v="1"/>
    <x v="19"/>
    <x v="5"/>
    <x v="3"/>
    <x v="7"/>
    <n v="1"/>
    <n v="14600"/>
    <n v="0"/>
    <x v="1"/>
    <x v="6"/>
    <n v="14600"/>
    <n v="0"/>
    <n v="14600"/>
  </r>
  <r>
    <s v="ORD-00499"/>
    <x v="181"/>
    <x v="4"/>
    <x v="0"/>
    <x v="5"/>
    <x v="0"/>
    <x v="0"/>
    <x v="12"/>
    <n v="9"/>
    <n v="9500"/>
    <n v="0.1"/>
    <x v="0"/>
    <x v="7"/>
    <n v="85500"/>
    <n v="8550"/>
    <n v="76950"/>
  </r>
  <r>
    <s v="ORD-00500"/>
    <x v="157"/>
    <x v="41"/>
    <x v="0"/>
    <x v="24"/>
    <x v="0"/>
    <x v="1"/>
    <x v="1"/>
    <n v="4"/>
    <n v="43900"/>
    <n v="0.15"/>
    <x v="1"/>
    <x v="2"/>
    <n v="175600"/>
    <n v="26340"/>
    <n v="1492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642B02-C59D-4EE6-A13B-BF70E927B35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J1:K8" firstHeaderRow="1" firstDataRow="1" firstDataCol="1"/>
  <pivotFields count="19">
    <pivotField showAll="0"/>
    <pivotField numFmtId="164" showAll="0">
      <items count="276">
        <item x="207"/>
        <item x="91"/>
        <item x="246"/>
        <item x="151"/>
        <item x="215"/>
        <item x="128"/>
        <item x="109"/>
        <item x="194"/>
        <item x="42"/>
        <item x="41"/>
        <item x="172"/>
        <item x="85"/>
        <item x="255"/>
        <item x="22"/>
        <item x="105"/>
        <item x="127"/>
        <item x="43"/>
        <item x="72"/>
        <item x="185"/>
        <item x="114"/>
        <item x="95"/>
        <item x="139"/>
        <item x="1"/>
        <item x="15"/>
        <item x="48"/>
        <item x="108"/>
        <item x="266"/>
        <item x="271"/>
        <item x="233"/>
        <item x="216"/>
        <item x="161"/>
        <item x="123"/>
        <item x="177"/>
        <item x="252"/>
        <item x="90"/>
        <item x="211"/>
        <item x="247"/>
        <item x="221"/>
        <item x="50"/>
        <item x="89"/>
        <item x="213"/>
        <item x="47"/>
        <item x="217"/>
        <item x="224"/>
        <item x="143"/>
        <item x="118"/>
        <item x="99"/>
        <item x="16"/>
        <item x="205"/>
        <item x="142"/>
        <item x="226"/>
        <item x="149"/>
        <item x="111"/>
        <item x="32"/>
        <item x="60"/>
        <item x="121"/>
        <item x="272"/>
        <item x="12"/>
        <item x="20"/>
        <item x="239"/>
        <item x="66"/>
        <item x="189"/>
        <item x="188"/>
        <item x="63"/>
        <item x="86"/>
        <item x="191"/>
        <item x="57"/>
        <item x="243"/>
        <item x="144"/>
        <item x="59"/>
        <item x="197"/>
        <item x="8"/>
        <item x="56"/>
        <item x="257"/>
        <item x="14"/>
        <item x="229"/>
        <item x="240"/>
        <item x="104"/>
        <item x="173"/>
        <item x="166"/>
        <item x="180"/>
        <item x="25"/>
        <item x="208"/>
        <item x="97"/>
        <item x="4"/>
        <item x="64"/>
        <item x="227"/>
        <item x="274"/>
        <item x="23"/>
        <item x="73"/>
        <item x="129"/>
        <item x="51"/>
        <item x="220"/>
        <item x="167"/>
        <item x="140"/>
        <item x="19"/>
        <item x="44"/>
        <item x="219"/>
        <item x="126"/>
        <item x="262"/>
        <item x="141"/>
        <item x="236"/>
        <item x="237"/>
        <item x="55"/>
        <item x="135"/>
        <item x="258"/>
        <item x="212"/>
        <item x="152"/>
        <item x="116"/>
        <item x="125"/>
        <item x="106"/>
        <item x="120"/>
        <item x="40"/>
        <item x="195"/>
        <item x="199"/>
        <item x="155"/>
        <item x="259"/>
        <item x="223"/>
        <item x="154"/>
        <item x="136"/>
        <item x="187"/>
        <item x="28"/>
        <item x="163"/>
        <item x="87"/>
        <item x="256"/>
        <item x="206"/>
        <item x="49"/>
        <item x="137"/>
        <item x="132"/>
        <item x="131"/>
        <item x="249"/>
        <item x="119"/>
        <item x="138"/>
        <item x="153"/>
        <item x="54"/>
        <item x="102"/>
        <item x="98"/>
        <item x="268"/>
        <item x="183"/>
        <item x="181"/>
        <item x="83"/>
        <item x="38"/>
        <item x="124"/>
        <item x="214"/>
        <item x="170"/>
        <item x="88"/>
        <item x="26"/>
        <item x="238"/>
        <item x="6"/>
        <item x="70"/>
        <item x="39"/>
        <item x="260"/>
        <item x="92"/>
        <item x="2"/>
        <item x="171"/>
        <item x="94"/>
        <item x="198"/>
        <item x="80"/>
        <item x="3"/>
        <item x="210"/>
        <item x="112"/>
        <item x="79"/>
        <item x="164"/>
        <item x="53"/>
        <item x="36"/>
        <item x="93"/>
        <item x="162"/>
        <item x="77"/>
        <item x="133"/>
        <item x="182"/>
        <item x="74"/>
        <item x="251"/>
        <item x="165"/>
        <item x="244"/>
        <item x="157"/>
        <item x="241"/>
        <item x="273"/>
        <item x="209"/>
        <item x="225"/>
        <item x="10"/>
        <item x="253"/>
        <item x="265"/>
        <item x="52"/>
        <item x="0"/>
        <item x="232"/>
        <item x="33"/>
        <item x="148"/>
        <item x="150"/>
        <item x="107"/>
        <item x="235"/>
        <item x="96"/>
        <item x="130"/>
        <item x="250"/>
        <item x="169"/>
        <item x="5"/>
        <item x="196"/>
        <item x="69"/>
        <item x="248"/>
        <item x="175"/>
        <item x="158"/>
        <item x="245"/>
        <item x="263"/>
        <item x="234"/>
        <item x="75"/>
        <item x="231"/>
        <item x="203"/>
        <item x="134"/>
        <item x="21"/>
        <item x="230"/>
        <item x="9"/>
        <item x="179"/>
        <item x="18"/>
        <item x="186"/>
        <item x="176"/>
        <item x="35"/>
        <item x="201"/>
        <item x="202"/>
        <item x="13"/>
        <item x="76"/>
        <item x="200"/>
        <item x="254"/>
        <item x="11"/>
        <item x="113"/>
        <item x="156"/>
        <item x="242"/>
        <item x="178"/>
        <item x="110"/>
        <item x="174"/>
        <item x="146"/>
        <item x="190"/>
        <item x="27"/>
        <item x="269"/>
        <item x="68"/>
        <item x="30"/>
        <item x="17"/>
        <item x="270"/>
        <item x="29"/>
        <item x="61"/>
        <item x="62"/>
        <item x="100"/>
        <item x="218"/>
        <item x="204"/>
        <item x="101"/>
        <item x="145"/>
        <item x="222"/>
        <item x="82"/>
        <item x="147"/>
        <item x="184"/>
        <item x="45"/>
        <item x="267"/>
        <item x="117"/>
        <item x="71"/>
        <item x="31"/>
        <item x="65"/>
        <item x="81"/>
        <item x="46"/>
        <item x="264"/>
        <item x="7"/>
        <item x="103"/>
        <item x="160"/>
        <item x="115"/>
        <item x="168"/>
        <item x="261"/>
        <item x="84"/>
        <item x="193"/>
        <item x="159"/>
        <item x="78"/>
        <item x="34"/>
        <item x="58"/>
        <item x="67"/>
        <item x="24"/>
        <item x="228"/>
        <item x="192"/>
        <item x="122"/>
        <item x="37"/>
        <item t="default"/>
      </items>
    </pivotField>
    <pivotField showAll="0">
      <items count="51">
        <item x="36"/>
        <item x="23"/>
        <item x="14"/>
        <item x="43"/>
        <item x="32"/>
        <item x="26"/>
        <item x="47"/>
        <item x="1"/>
        <item x="41"/>
        <item x="18"/>
        <item x="28"/>
        <item x="0"/>
        <item x="34"/>
        <item x="33"/>
        <item x="45"/>
        <item x="42"/>
        <item x="8"/>
        <item x="44"/>
        <item x="21"/>
        <item x="29"/>
        <item x="38"/>
        <item x="15"/>
        <item x="25"/>
        <item x="31"/>
        <item x="5"/>
        <item x="27"/>
        <item x="49"/>
        <item x="11"/>
        <item x="39"/>
        <item x="37"/>
        <item x="40"/>
        <item x="35"/>
        <item x="10"/>
        <item x="4"/>
        <item x="19"/>
        <item x="6"/>
        <item x="9"/>
        <item x="24"/>
        <item x="3"/>
        <item x="2"/>
        <item x="17"/>
        <item x="16"/>
        <item x="12"/>
        <item x="22"/>
        <item x="13"/>
        <item x="20"/>
        <item x="7"/>
        <item x="46"/>
        <item x="48"/>
        <item x="30"/>
        <item t="default"/>
      </items>
    </pivotField>
    <pivotField showAll="0">
      <items count="3">
        <item x="1"/>
        <item x="0"/>
        <item t="default"/>
      </items>
    </pivotField>
    <pivotField showAll="0">
      <items count="8">
        <item x="0"/>
        <item x="1"/>
        <item x="2"/>
        <item x="3"/>
        <item x="4"/>
        <item x="5"/>
        <item x="6"/>
        <item t="default"/>
      </items>
    </pivotField>
    <pivotField showAll="0">
      <items count="7">
        <item x="1"/>
        <item x="2"/>
        <item x="0"/>
        <item x="5"/>
        <item x="3"/>
        <item x="4"/>
        <item t="default"/>
      </items>
    </pivotField>
    <pivotField axis="axisRow" showAll="0">
      <items count="7">
        <item x="2"/>
        <item x="5"/>
        <item x="0"/>
        <item x="1"/>
        <item x="3"/>
        <item x="4"/>
        <item t="default"/>
      </items>
    </pivotField>
    <pivotField showAll="0"/>
    <pivotField showAll="0"/>
    <pivotField numFmtId="3" showAll="0"/>
    <pivotField numFmtId="9" showAll="0"/>
    <pivotField showAll="0">
      <items count="4">
        <item x="0"/>
        <item x="2"/>
        <item x="1"/>
        <item t="default"/>
      </items>
    </pivotField>
    <pivotField showAll="0">
      <items count="11">
        <item x="5"/>
        <item x="4"/>
        <item x="8"/>
        <item x="6"/>
        <item x="7"/>
        <item x="2"/>
        <item x="9"/>
        <item x="0"/>
        <item x="3"/>
        <item x="1"/>
        <item t="default"/>
      </items>
    </pivotField>
    <pivotField numFmtId="3" showAll="0"/>
    <pivotField numFmtId="3" showAll="0"/>
    <pivotField dataField="1"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7">
    <i>
      <x/>
    </i>
    <i>
      <x v="1"/>
    </i>
    <i>
      <x v="2"/>
    </i>
    <i>
      <x v="3"/>
    </i>
    <i>
      <x v="4"/>
    </i>
    <i>
      <x v="5"/>
    </i>
    <i t="grand">
      <x/>
    </i>
  </rowItems>
  <colItems count="1">
    <i/>
  </colItems>
  <dataFields count="1">
    <dataField name="Sum of Net Revenue" fld="15" baseField="0" baseItem="0" numFmtId="167"/>
  </dataFields>
  <formats count="1">
    <format dxfId="44">
      <pivotArea outline="0" collapsedLevelsAreSubtotals="1" fieldPosition="0"/>
    </format>
  </formats>
  <chartFormats count="5">
    <chartFormat chart="8" format="3"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EDDB6F-89B3-449F-9023-3E245B0959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I16:J29" firstHeaderRow="1" firstDataRow="1" firstDataCol="1"/>
  <pivotFields count="19">
    <pivotField showAll="0"/>
    <pivotField numFmtId="164" showAll="0">
      <items count="276">
        <item x="207"/>
        <item x="91"/>
        <item x="246"/>
        <item x="151"/>
        <item x="215"/>
        <item x="128"/>
        <item x="109"/>
        <item x="194"/>
        <item x="42"/>
        <item x="41"/>
        <item x="172"/>
        <item x="85"/>
        <item x="255"/>
        <item x="22"/>
        <item x="105"/>
        <item x="127"/>
        <item x="43"/>
        <item x="72"/>
        <item x="185"/>
        <item x="114"/>
        <item x="95"/>
        <item x="139"/>
        <item x="1"/>
        <item x="15"/>
        <item x="48"/>
        <item x="108"/>
        <item x="266"/>
        <item x="271"/>
        <item x="233"/>
        <item x="216"/>
        <item x="161"/>
        <item x="123"/>
        <item x="177"/>
        <item x="252"/>
        <item x="90"/>
        <item x="211"/>
        <item x="247"/>
        <item x="221"/>
        <item x="50"/>
        <item x="89"/>
        <item x="213"/>
        <item x="47"/>
        <item x="217"/>
        <item x="224"/>
        <item x="143"/>
        <item x="118"/>
        <item x="99"/>
        <item x="16"/>
        <item x="205"/>
        <item x="142"/>
        <item x="226"/>
        <item x="149"/>
        <item x="111"/>
        <item x="32"/>
        <item x="60"/>
        <item x="121"/>
        <item x="272"/>
        <item x="12"/>
        <item x="20"/>
        <item x="239"/>
        <item x="66"/>
        <item x="189"/>
        <item x="188"/>
        <item x="63"/>
        <item x="86"/>
        <item x="191"/>
        <item x="57"/>
        <item x="243"/>
        <item x="144"/>
        <item x="59"/>
        <item x="197"/>
        <item x="8"/>
        <item x="56"/>
        <item x="257"/>
        <item x="14"/>
        <item x="229"/>
        <item x="240"/>
        <item x="104"/>
        <item x="173"/>
        <item x="166"/>
        <item x="180"/>
        <item x="25"/>
        <item x="208"/>
        <item x="97"/>
        <item x="4"/>
        <item x="64"/>
        <item x="227"/>
        <item x="274"/>
        <item x="23"/>
        <item x="73"/>
        <item x="129"/>
        <item x="51"/>
        <item x="220"/>
        <item x="167"/>
        <item x="140"/>
        <item x="19"/>
        <item x="44"/>
        <item x="219"/>
        <item x="126"/>
        <item x="262"/>
        <item x="141"/>
        <item x="236"/>
        <item x="237"/>
        <item x="55"/>
        <item x="135"/>
        <item x="258"/>
        <item x="212"/>
        <item x="152"/>
        <item x="116"/>
        <item x="125"/>
        <item x="106"/>
        <item x="120"/>
        <item x="40"/>
        <item x="195"/>
        <item x="199"/>
        <item x="155"/>
        <item x="259"/>
        <item x="223"/>
        <item x="154"/>
        <item x="136"/>
        <item x="187"/>
        <item x="28"/>
        <item x="163"/>
        <item x="87"/>
        <item x="256"/>
        <item x="206"/>
        <item x="49"/>
        <item x="137"/>
        <item x="132"/>
        <item x="131"/>
        <item x="249"/>
        <item x="119"/>
        <item x="138"/>
        <item x="153"/>
        <item x="54"/>
        <item x="102"/>
        <item x="98"/>
        <item x="268"/>
        <item x="183"/>
        <item x="181"/>
        <item x="83"/>
        <item x="38"/>
        <item x="124"/>
        <item x="214"/>
        <item x="170"/>
        <item x="88"/>
        <item x="26"/>
        <item x="238"/>
        <item x="6"/>
        <item x="70"/>
        <item x="39"/>
        <item x="260"/>
        <item x="92"/>
        <item x="2"/>
        <item x="171"/>
        <item x="94"/>
        <item x="198"/>
        <item x="80"/>
        <item x="3"/>
        <item x="210"/>
        <item x="112"/>
        <item x="79"/>
        <item x="164"/>
        <item x="53"/>
        <item x="36"/>
        <item x="93"/>
        <item x="162"/>
        <item x="77"/>
        <item x="133"/>
        <item x="182"/>
        <item x="74"/>
        <item x="251"/>
        <item x="165"/>
        <item x="244"/>
        <item x="157"/>
        <item x="241"/>
        <item x="273"/>
        <item x="209"/>
        <item x="225"/>
        <item x="10"/>
        <item x="253"/>
        <item x="265"/>
        <item x="52"/>
        <item x="0"/>
        <item x="232"/>
        <item x="33"/>
        <item x="148"/>
        <item x="150"/>
        <item x="107"/>
        <item x="235"/>
        <item x="96"/>
        <item x="130"/>
        <item x="250"/>
        <item x="169"/>
        <item x="5"/>
        <item x="196"/>
        <item x="69"/>
        <item x="248"/>
        <item x="175"/>
        <item x="158"/>
        <item x="245"/>
        <item x="263"/>
        <item x="234"/>
        <item x="75"/>
        <item x="231"/>
        <item x="203"/>
        <item x="134"/>
        <item x="21"/>
        <item x="230"/>
        <item x="9"/>
        <item x="179"/>
        <item x="18"/>
        <item x="186"/>
        <item x="176"/>
        <item x="35"/>
        <item x="201"/>
        <item x="202"/>
        <item x="13"/>
        <item x="76"/>
        <item x="200"/>
        <item x="254"/>
        <item x="11"/>
        <item x="113"/>
        <item x="156"/>
        <item x="242"/>
        <item x="178"/>
        <item x="110"/>
        <item x="174"/>
        <item x="146"/>
        <item x="190"/>
        <item x="27"/>
        <item x="269"/>
        <item x="68"/>
        <item x="30"/>
        <item x="17"/>
        <item x="270"/>
        <item x="29"/>
        <item x="61"/>
        <item x="62"/>
        <item x="100"/>
        <item x="218"/>
        <item x="204"/>
        <item x="101"/>
        <item x="145"/>
        <item x="222"/>
        <item x="82"/>
        <item x="147"/>
        <item x="184"/>
        <item x="45"/>
        <item x="267"/>
        <item x="117"/>
        <item x="71"/>
        <item x="31"/>
        <item x="65"/>
        <item x="81"/>
        <item x="46"/>
        <item x="264"/>
        <item x="7"/>
        <item x="103"/>
        <item x="160"/>
        <item x="115"/>
        <item x="168"/>
        <item x="261"/>
        <item x="84"/>
        <item x="193"/>
        <item x="159"/>
        <item x="78"/>
        <item x="34"/>
        <item x="58"/>
        <item x="67"/>
        <item x="24"/>
        <item x="228"/>
        <item x="192"/>
        <item x="122"/>
        <item x="37"/>
        <item t="default"/>
      </items>
    </pivotField>
    <pivotField showAll="0">
      <items count="51">
        <item x="36"/>
        <item x="23"/>
        <item x="14"/>
        <item x="43"/>
        <item x="32"/>
        <item x="26"/>
        <item x="47"/>
        <item x="1"/>
        <item x="41"/>
        <item x="18"/>
        <item x="28"/>
        <item x="0"/>
        <item x="34"/>
        <item x="33"/>
        <item x="45"/>
        <item x="42"/>
        <item x="8"/>
        <item x="44"/>
        <item x="21"/>
        <item x="29"/>
        <item x="38"/>
        <item x="15"/>
        <item x="25"/>
        <item x="31"/>
        <item x="5"/>
        <item x="27"/>
        <item x="49"/>
        <item x="11"/>
        <item x="39"/>
        <item x="37"/>
        <item x="40"/>
        <item x="35"/>
        <item x="10"/>
        <item x="4"/>
        <item x="19"/>
        <item x="6"/>
        <item x="9"/>
        <item x="24"/>
        <item x="3"/>
        <item x="2"/>
        <item x="17"/>
        <item x="16"/>
        <item x="12"/>
        <item x="22"/>
        <item x="13"/>
        <item x="20"/>
        <item x="7"/>
        <item x="46"/>
        <item x="48"/>
        <item x="30"/>
        <item t="default"/>
      </items>
    </pivotField>
    <pivotField showAll="0">
      <items count="3">
        <item x="1"/>
        <item x="0"/>
        <item t="default"/>
      </items>
    </pivotField>
    <pivotField showAll="0">
      <items count="8">
        <item x="0"/>
        <item x="1"/>
        <item x="2"/>
        <item x="3"/>
        <item x="4"/>
        <item x="5"/>
        <item x="6"/>
        <item t="default"/>
      </items>
    </pivotField>
    <pivotField showAll="0">
      <items count="7">
        <item x="1"/>
        <item x="2"/>
        <item x="0"/>
        <item x="5"/>
        <item x="3"/>
        <item x="4"/>
        <item t="default"/>
      </items>
    </pivotField>
    <pivotField showAll="0">
      <items count="7">
        <item x="2"/>
        <item x="5"/>
        <item x="3"/>
        <item x="1"/>
        <item x="0"/>
        <item x="4"/>
        <item t="default"/>
      </items>
    </pivotField>
    <pivotField showAll="0"/>
    <pivotField showAll="0"/>
    <pivotField numFmtId="3" showAll="0"/>
    <pivotField numFmtId="9" showAll="0"/>
    <pivotField showAll="0">
      <items count="4">
        <item x="0"/>
        <item x="2"/>
        <item x="1"/>
        <item t="default"/>
      </items>
    </pivotField>
    <pivotField showAll="0">
      <items count="11">
        <item x="5"/>
        <item x="4"/>
        <item x="8"/>
        <item x="6"/>
        <item x="7"/>
        <item x="2"/>
        <item x="9"/>
        <item x="0"/>
        <item x="3"/>
        <item x="1"/>
        <item t="default"/>
      </items>
    </pivotField>
    <pivotField numFmtId="3" showAll="0"/>
    <pivotField numFmtId="3" showAll="0"/>
    <pivotField dataField="1" numFmtId="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Net Revenue" fld="15" baseField="0" baseItem="0" numFmtId="166"/>
  </dataFields>
  <formats count="1">
    <format dxfId="45">
      <pivotArea outline="0" collapsedLevelsAreSubtotals="1" fieldPosition="0"/>
    </format>
  </formats>
  <chartFormats count="3">
    <chartFormat chart="8"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BEBAFD-498D-4F24-B6FB-3A5781B75E6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32:C39" firstHeaderRow="1" firstDataRow="1" firstDataCol="1"/>
  <pivotFields count="19">
    <pivotField showAll="0"/>
    <pivotField numFmtId="164" showAll="0">
      <items count="276">
        <item x="207"/>
        <item x="91"/>
        <item x="246"/>
        <item x="151"/>
        <item x="215"/>
        <item x="128"/>
        <item x="109"/>
        <item x="194"/>
        <item x="42"/>
        <item x="41"/>
        <item x="172"/>
        <item x="85"/>
        <item x="255"/>
        <item x="22"/>
        <item x="105"/>
        <item x="127"/>
        <item x="43"/>
        <item x="72"/>
        <item x="185"/>
        <item x="114"/>
        <item x="95"/>
        <item x="139"/>
        <item x="1"/>
        <item x="15"/>
        <item x="48"/>
        <item x="108"/>
        <item x="266"/>
        <item x="271"/>
        <item x="233"/>
        <item x="216"/>
        <item x="161"/>
        <item x="123"/>
        <item x="177"/>
        <item x="252"/>
        <item x="90"/>
        <item x="211"/>
        <item x="247"/>
        <item x="221"/>
        <item x="50"/>
        <item x="89"/>
        <item x="213"/>
        <item x="47"/>
        <item x="217"/>
        <item x="224"/>
        <item x="143"/>
        <item x="118"/>
        <item x="99"/>
        <item x="16"/>
        <item x="205"/>
        <item x="142"/>
        <item x="226"/>
        <item x="149"/>
        <item x="111"/>
        <item x="32"/>
        <item x="60"/>
        <item x="121"/>
        <item x="272"/>
        <item x="12"/>
        <item x="20"/>
        <item x="239"/>
        <item x="66"/>
        <item x="189"/>
        <item x="188"/>
        <item x="63"/>
        <item x="86"/>
        <item x="191"/>
        <item x="57"/>
        <item x="243"/>
        <item x="144"/>
        <item x="59"/>
        <item x="197"/>
        <item x="8"/>
        <item x="56"/>
        <item x="257"/>
        <item x="14"/>
        <item x="229"/>
        <item x="240"/>
        <item x="104"/>
        <item x="173"/>
        <item x="166"/>
        <item x="180"/>
        <item x="25"/>
        <item x="208"/>
        <item x="97"/>
        <item x="4"/>
        <item x="64"/>
        <item x="227"/>
        <item x="274"/>
        <item x="23"/>
        <item x="73"/>
        <item x="129"/>
        <item x="51"/>
        <item x="220"/>
        <item x="167"/>
        <item x="140"/>
        <item x="19"/>
        <item x="44"/>
        <item x="219"/>
        <item x="126"/>
        <item x="262"/>
        <item x="141"/>
        <item x="236"/>
        <item x="237"/>
        <item x="55"/>
        <item x="135"/>
        <item x="258"/>
        <item x="212"/>
        <item x="152"/>
        <item x="116"/>
        <item x="125"/>
        <item x="106"/>
        <item x="120"/>
        <item x="40"/>
        <item x="195"/>
        <item x="199"/>
        <item x="155"/>
        <item x="259"/>
        <item x="223"/>
        <item x="154"/>
        <item x="136"/>
        <item x="187"/>
        <item x="28"/>
        <item x="163"/>
        <item x="87"/>
        <item x="256"/>
        <item x="206"/>
        <item x="49"/>
        <item x="137"/>
        <item x="132"/>
        <item x="131"/>
        <item x="249"/>
        <item x="119"/>
        <item x="138"/>
        <item x="153"/>
        <item x="54"/>
        <item x="102"/>
        <item x="98"/>
        <item x="268"/>
        <item x="183"/>
        <item x="181"/>
        <item x="83"/>
        <item x="38"/>
        <item x="124"/>
        <item x="214"/>
        <item x="170"/>
        <item x="88"/>
        <item x="26"/>
        <item x="238"/>
        <item x="6"/>
        <item x="70"/>
        <item x="39"/>
        <item x="260"/>
        <item x="92"/>
        <item x="2"/>
        <item x="171"/>
        <item x="94"/>
        <item x="198"/>
        <item x="80"/>
        <item x="3"/>
        <item x="210"/>
        <item x="112"/>
        <item x="79"/>
        <item x="164"/>
        <item x="53"/>
        <item x="36"/>
        <item x="93"/>
        <item x="162"/>
        <item x="77"/>
        <item x="133"/>
        <item x="182"/>
        <item x="74"/>
        <item x="251"/>
        <item x="165"/>
        <item x="244"/>
        <item x="157"/>
        <item x="241"/>
        <item x="273"/>
        <item x="209"/>
        <item x="225"/>
        <item x="10"/>
        <item x="253"/>
        <item x="265"/>
        <item x="52"/>
        <item x="0"/>
        <item x="232"/>
        <item x="33"/>
        <item x="148"/>
        <item x="150"/>
        <item x="107"/>
        <item x="235"/>
        <item x="96"/>
        <item x="130"/>
        <item x="250"/>
        <item x="169"/>
        <item x="5"/>
        <item x="196"/>
        <item x="69"/>
        <item x="248"/>
        <item x="175"/>
        <item x="158"/>
        <item x="245"/>
        <item x="263"/>
        <item x="234"/>
        <item x="75"/>
        <item x="231"/>
        <item x="203"/>
        <item x="134"/>
        <item x="21"/>
        <item x="230"/>
        <item x="9"/>
        <item x="179"/>
        <item x="18"/>
        <item x="186"/>
        <item x="176"/>
        <item x="35"/>
        <item x="201"/>
        <item x="202"/>
        <item x="13"/>
        <item x="76"/>
        <item x="200"/>
        <item x="254"/>
        <item x="11"/>
        <item x="113"/>
        <item x="156"/>
        <item x="242"/>
        <item x="178"/>
        <item x="110"/>
        <item x="174"/>
        <item x="146"/>
        <item x="190"/>
        <item x="27"/>
        <item x="269"/>
        <item x="68"/>
        <item x="30"/>
        <item x="17"/>
        <item x="270"/>
        <item x="29"/>
        <item x="61"/>
        <item x="62"/>
        <item x="100"/>
        <item x="218"/>
        <item x="204"/>
        <item x="101"/>
        <item x="145"/>
        <item x="222"/>
        <item x="82"/>
        <item x="147"/>
        <item x="184"/>
        <item x="45"/>
        <item x="267"/>
        <item x="117"/>
        <item x="71"/>
        <item x="31"/>
        <item x="65"/>
        <item x="81"/>
        <item x="46"/>
        <item x="264"/>
        <item x="7"/>
        <item x="103"/>
        <item x="160"/>
        <item x="115"/>
        <item x="168"/>
        <item x="261"/>
        <item x="84"/>
        <item x="193"/>
        <item x="159"/>
        <item x="78"/>
        <item x="34"/>
        <item x="58"/>
        <item x="67"/>
        <item x="24"/>
        <item x="228"/>
        <item x="192"/>
        <item x="122"/>
        <item x="37"/>
        <item t="default"/>
      </items>
    </pivotField>
    <pivotField showAll="0">
      <items count="51">
        <item x="36"/>
        <item x="23"/>
        <item x="14"/>
        <item x="43"/>
        <item x="32"/>
        <item x="26"/>
        <item x="47"/>
        <item x="1"/>
        <item x="41"/>
        <item x="18"/>
        <item x="28"/>
        <item x="0"/>
        <item x="34"/>
        <item x="33"/>
        <item x="45"/>
        <item x="42"/>
        <item x="8"/>
        <item x="44"/>
        <item x="21"/>
        <item x="29"/>
        <item x="38"/>
        <item x="15"/>
        <item x="25"/>
        <item x="31"/>
        <item x="5"/>
        <item x="27"/>
        <item x="49"/>
        <item x="11"/>
        <item x="39"/>
        <item x="37"/>
        <item x="40"/>
        <item x="35"/>
        <item x="10"/>
        <item x="4"/>
        <item x="19"/>
        <item x="6"/>
        <item x="9"/>
        <item x="24"/>
        <item x="3"/>
        <item x="2"/>
        <item x="17"/>
        <item x="16"/>
        <item x="12"/>
        <item x="22"/>
        <item x="13"/>
        <item x="20"/>
        <item x="7"/>
        <item x="46"/>
        <item x="48"/>
        <item x="30"/>
        <item t="default"/>
      </items>
    </pivotField>
    <pivotField showAll="0">
      <items count="3">
        <item x="1"/>
        <item x="0"/>
        <item t="default"/>
      </items>
    </pivotField>
    <pivotField showAll="0">
      <items count="8">
        <item x="0"/>
        <item x="1"/>
        <item x="2"/>
        <item x="3"/>
        <item x="4"/>
        <item x="5"/>
        <item x="6"/>
        <item t="default"/>
      </items>
    </pivotField>
    <pivotField axis="axisRow" showAll="0">
      <items count="7">
        <item x="1"/>
        <item x="2"/>
        <item x="0"/>
        <item x="5"/>
        <item x="3"/>
        <item x="4"/>
        <item t="default"/>
      </items>
    </pivotField>
    <pivotField showAll="0">
      <items count="7">
        <item x="2"/>
        <item x="5"/>
        <item x="3"/>
        <item x="1"/>
        <item x="0"/>
        <item x="4"/>
        <item t="default"/>
      </items>
    </pivotField>
    <pivotField showAll="0"/>
    <pivotField showAll="0"/>
    <pivotField numFmtId="3" showAll="0"/>
    <pivotField numFmtId="9" showAll="0"/>
    <pivotField showAll="0">
      <items count="4">
        <item x="0"/>
        <item x="2"/>
        <item x="1"/>
        <item t="default"/>
      </items>
    </pivotField>
    <pivotField showAll="0">
      <items count="11">
        <item x="5"/>
        <item x="4"/>
        <item x="8"/>
        <item x="6"/>
        <item x="7"/>
        <item x="2"/>
        <item x="9"/>
        <item x="0"/>
        <item x="3"/>
        <item x="1"/>
        <item t="default"/>
      </items>
    </pivotField>
    <pivotField dataField="1" numFmtId="3" showAll="0"/>
    <pivotField numFmtId="3" showAll="0"/>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7">
    <i>
      <x/>
    </i>
    <i>
      <x v="1"/>
    </i>
    <i>
      <x v="2"/>
    </i>
    <i>
      <x v="3"/>
    </i>
    <i>
      <x v="4"/>
    </i>
    <i>
      <x v="5"/>
    </i>
    <i t="grand">
      <x/>
    </i>
  </rowItems>
  <colItems count="1">
    <i/>
  </colItems>
  <dataFields count="1">
    <dataField name="Sum of Gross Sales" fld="13" baseField="0" baseItem="0" numFmtId="3"/>
  </dataFields>
  <chartFormats count="23">
    <chartFormat chart="8" format="1"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5" count="1" selected="0">
            <x v="0"/>
          </reference>
        </references>
      </pivotArea>
    </chartFormat>
    <chartFormat chart="18" format="3">
      <pivotArea type="data" outline="0" fieldPosition="0">
        <references count="2">
          <reference field="4294967294" count="1" selected="0">
            <x v="0"/>
          </reference>
          <reference field="5" count="1" selected="0">
            <x v="1"/>
          </reference>
        </references>
      </pivotArea>
    </chartFormat>
    <chartFormat chart="18" format="4">
      <pivotArea type="data" outline="0" fieldPosition="0">
        <references count="2">
          <reference field="4294967294" count="1" selected="0">
            <x v="0"/>
          </reference>
          <reference field="5" count="1" selected="0">
            <x v="2"/>
          </reference>
        </references>
      </pivotArea>
    </chartFormat>
    <chartFormat chart="18" format="5">
      <pivotArea type="data" outline="0" fieldPosition="0">
        <references count="2">
          <reference field="4294967294" count="1" selected="0">
            <x v="0"/>
          </reference>
          <reference field="5" count="1" selected="0">
            <x v="3"/>
          </reference>
        </references>
      </pivotArea>
    </chartFormat>
    <chartFormat chart="18" format="6">
      <pivotArea type="data" outline="0" fieldPosition="0">
        <references count="2">
          <reference field="4294967294" count="1" selected="0">
            <x v="0"/>
          </reference>
          <reference field="5" count="1" selected="0">
            <x v="4"/>
          </reference>
        </references>
      </pivotArea>
    </chartFormat>
    <chartFormat chart="18" format="7">
      <pivotArea type="data" outline="0" fieldPosition="0">
        <references count="2">
          <reference field="4294967294" count="1" selected="0">
            <x v="0"/>
          </reference>
          <reference field="5" count="1" selected="0">
            <x v="5"/>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5" count="1" selected="0">
            <x v="0"/>
          </reference>
        </references>
      </pivotArea>
    </chartFormat>
    <chartFormat chart="19" format="10">
      <pivotArea type="data" outline="0" fieldPosition="0">
        <references count="2">
          <reference field="4294967294" count="1" selected="0">
            <x v="0"/>
          </reference>
          <reference field="5" count="1" selected="0">
            <x v="1"/>
          </reference>
        </references>
      </pivotArea>
    </chartFormat>
    <chartFormat chart="19" format="11">
      <pivotArea type="data" outline="0" fieldPosition="0">
        <references count="2">
          <reference field="4294967294" count="1" selected="0">
            <x v="0"/>
          </reference>
          <reference field="5" count="1" selected="0">
            <x v="2"/>
          </reference>
        </references>
      </pivotArea>
    </chartFormat>
    <chartFormat chart="19" format="12">
      <pivotArea type="data" outline="0" fieldPosition="0">
        <references count="2">
          <reference field="4294967294" count="1" selected="0">
            <x v="0"/>
          </reference>
          <reference field="5" count="1" selected="0">
            <x v="3"/>
          </reference>
        </references>
      </pivotArea>
    </chartFormat>
    <chartFormat chart="19" format="13">
      <pivotArea type="data" outline="0" fieldPosition="0">
        <references count="2">
          <reference field="4294967294" count="1" selected="0">
            <x v="0"/>
          </reference>
          <reference field="5" count="1" selected="0">
            <x v="4"/>
          </reference>
        </references>
      </pivotArea>
    </chartFormat>
    <chartFormat chart="19" format="14">
      <pivotArea type="data" outline="0" fieldPosition="0">
        <references count="2">
          <reference field="4294967294" count="1" selected="0">
            <x v="0"/>
          </reference>
          <reference field="5" count="1" selected="0">
            <x v="5"/>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5" count="1" selected="0">
            <x v="0"/>
          </reference>
        </references>
      </pivotArea>
    </chartFormat>
    <chartFormat chart="20" format="10">
      <pivotArea type="data" outline="0" fieldPosition="0">
        <references count="2">
          <reference field="4294967294" count="1" selected="0">
            <x v="0"/>
          </reference>
          <reference field="5" count="1" selected="0">
            <x v="1"/>
          </reference>
        </references>
      </pivotArea>
    </chartFormat>
    <chartFormat chart="20" format="11">
      <pivotArea type="data" outline="0" fieldPosition="0">
        <references count="2">
          <reference field="4294967294" count="1" selected="0">
            <x v="0"/>
          </reference>
          <reference field="5" count="1" selected="0">
            <x v="2"/>
          </reference>
        </references>
      </pivotArea>
    </chartFormat>
    <chartFormat chart="20" format="12">
      <pivotArea type="data" outline="0" fieldPosition="0">
        <references count="2">
          <reference field="4294967294" count="1" selected="0">
            <x v="0"/>
          </reference>
          <reference field="5" count="1" selected="0">
            <x v="3"/>
          </reference>
        </references>
      </pivotArea>
    </chartFormat>
    <chartFormat chart="20" format="13">
      <pivotArea type="data" outline="0" fieldPosition="0">
        <references count="2">
          <reference field="4294967294" count="1" selected="0">
            <x v="0"/>
          </reference>
          <reference field="5" count="1" selected="0">
            <x v="4"/>
          </reference>
        </references>
      </pivotArea>
    </chartFormat>
    <chartFormat chart="20"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BE5B5B-EBCF-4971-8F59-B79767705C4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23:E29" firstHeaderRow="1" firstDataRow="1" firstDataCol="1"/>
  <pivotFields count="19">
    <pivotField showAll="0"/>
    <pivotField numFmtId="164" showAll="0">
      <items count="276">
        <item x="207"/>
        <item x="91"/>
        <item x="246"/>
        <item x="151"/>
        <item x="215"/>
        <item x="128"/>
        <item x="109"/>
        <item x="194"/>
        <item x="42"/>
        <item x="41"/>
        <item x="172"/>
        <item x="85"/>
        <item x="255"/>
        <item x="22"/>
        <item x="105"/>
        <item x="127"/>
        <item x="43"/>
        <item x="72"/>
        <item x="185"/>
        <item x="114"/>
        <item x="95"/>
        <item x="139"/>
        <item x="1"/>
        <item x="15"/>
        <item x="48"/>
        <item x="108"/>
        <item x="266"/>
        <item x="271"/>
        <item x="233"/>
        <item x="216"/>
        <item x="161"/>
        <item x="123"/>
        <item x="177"/>
        <item x="252"/>
        <item x="90"/>
        <item x="211"/>
        <item x="247"/>
        <item x="221"/>
        <item x="50"/>
        <item x="89"/>
        <item x="213"/>
        <item x="47"/>
        <item x="217"/>
        <item x="224"/>
        <item x="143"/>
        <item x="118"/>
        <item x="99"/>
        <item x="16"/>
        <item x="205"/>
        <item x="142"/>
        <item x="226"/>
        <item x="149"/>
        <item x="111"/>
        <item x="32"/>
        <item x="60"/>
        <item x="121"/>
        <item x="272"/>
        <item x="12"/>
        <item x="20"/>
        <item x="239"/>
        <item x="66"/>
        <item x="189"/>
        <item x="188"/>
        <item x="63"/>
        <item x="86"/>
        <item x="191"/>
        <item x="57"/>
        <item x="243"/>
        <item x="144"/>
        <item x="59"/>
        <item x="197"/>
        <item x="8"/>
        <item x="56"/>
        <item x="257"/>
        <item x="14"/>
        <item x="229"/>
        <item x="240"/>
        <item x="104"/>
        <item x="173"/>
        <item x="166"/>
        <item x="180"/>
        <item x="25"/>
        <item x="208"/>
        <item x="97"/>
        <item x="4"/>
        <item x="64"/>
        <item x="227"/>
        <item x="274"/>
        <item x="23"/>
        <item x="73"/>
        <item x="129"/>
        <item x="51"/>
        <item x="220"/>
        <item x="167"/>
        <item x="140"/>
        <item x="19"/>
        <item x="44"/>
        <item x="219"/>
        <item x="126"/>
        <item x="262"/>
        <item x="141"/>
        <item x="236"/>
        <item x="237"/>
        <item x="55"/>
        <item x="135"/>
        <item x="258"/>
        <item x="212"/>
        <item x="152"/>
        <item x="116"/>
        <item x="125"/>
        <item x="106"/>
        <item x="120"/>
        <item x="40"/>
        <item x="195"/>
        <item x="199"/>
        <item x="155"/>
        <item x="259"/>
        <item x="223"/>
        <item x="154"/>
        <item x="136"/>
        <item x="187"/>
        <item x="28"/>
        <item x="163"/>
        <item x="87"/>
        <item x="256"/>
        <item x="206"/>
        <item x="49"/>
        <item x="137"/>
        <item x="132"/>
        <item x="131"/>
        <item x="249"/>
        <item x="119"/>
        <item x="138"/>
        <item x="153"/>
        <item x="54"/>
        <item x="102"/>
        <item x="98"/>
        <item x="268"/>
        <item x="183"/>
        <item x="181"/>
        <item x="83"/>
        <item x="38"/>
        <item x="124"/>
        <item x="214"/>
        <item x="170"/>
        <item x="88"/>
        <item x="26"/>
        <item x="238"/>
        <item x="6"/>
        <item x="70"/>
        <item x="39"/>
        <item x="260"/>
        <item x="92"/>
        <item x="2"/>
        <item x="171"/>
        <item x="94"/>
        <item x="198"/>
        <item x="80"/>
        <item x="3"/>
        <item x="210"/>
        <item x="112"/>
        <item x="79"/>
        <item x="164"/>
        <item x="53"/>
        <item x="36"/>
        <item x="93"/>
        <item x="162"/>
        <item x="77"/>
        <item x="133"/>
        <item x="182"/>
        <item x="74"/>
        <item x="251"/>
        <item x="165"/>
        <item x="244"/>
        <item x="157"/>
        <item x="241"/>
        <item x="273"/>
        <item x="209"/>
        <item x="225"/>
        <item x="10"/>
        <item x="253"/>
        <item x="265"/>
        <item x="52"/>
        <item x="0"/>
        <item x="232"/>
        <item x="33"/>
        <item x="148"/>
        <item x="150"/>
        <item x="107"/>
        <item x="235"/>
        <item x="96"/>
        <item x="130"/>
        <item x="250"/>
        <item x="169"/>
        <item x="5"/>
        <item x="196"/>
        <item x="69"/>
        <item x="248"/>
        <item x="175"/>
        <item x="158"/>
        <item x="245"/>
        <item x="263"/>
        <item x="234"/>
        <item x="75"/>
        <item x="231"/>
        <item x="203"/>
        <item x="134"/>
        <item x="21"/>
        <item x="230"/>
        <item x="9"/>
        <item x="179"/>
        <item x="18"/>
        <item x="186"/>
        <item x="176"/>
        <item x="35"/>
        <item x="201"/>
        <item x="202"/>
        <item x="13"/>
        <item x="76"/>
        <item x="200"/>
        <item x="254"/>
        <item x="11"/>
        <item x="113"/>
        <item x="156"/>
        <item x="242"/>
        <item x="178"/>
        <item x="110"/>
        <item x="174"/>
        <item x="146"/>
        <item x="190"/>
        <item x="27"/>
        <item x="269"/>
        <item x="68"/>
        <item x="30"/>
        <item x="17"/>
        <item x="270"/>
        <item x="29"/>
        <item x="61"/>
        <item x="62"/>
        <item x="100"/>
        <item x="218"/>
        <item x="204"/>
        <item x="101"/>
        <item x="145"/>
        <item x="222"/>
        <item x="82"/>
        <item x="147"/>
        <item x="184"/>
        <item x="45"/>
        <item x="267"/>
        <item x="117"/>
        <item x="71"/>
        <item x="31"/>
        <item x="65"/>
        <item x="81"/>
        <item x="46"/>
        <item x="264"/>
        <item x="7"/>
        <item x="103"/>
        <item x="160"/>
        <item x="115"/>
        <item x="168"/>
        <item x="261"/>
        <item x="84"/>
        <item x="193"/>
        <item x="159"/>
        <item x="78"/>
        <item x="34"/>
        <item x="58"/>
        <item x="67"/>
        <item x="24"/>
        <item x="228"/>
        <item x="192"/>
        <item x="122"/>
        <item x="37"/>
        <item t="default"/>
      </items>
    </pivotField>
    <pivotField dataField="1" showAll="0">
      <items count="51">
        <item x="36"/>
        <item x="23"/>
        <item x="14"/>
        <item x="43"/>
        <item x="32"/>
        <item x="26"/>
        <item x="47"/>
        <item x="1"/>
        <item x="41"/>
        <item x="18"/>
        <item x="28"/>
        <item x="0"/>
        <item x="34"/>
        <item x="33"/>
        <item x="45"/>
        <item x="42"/>
        <item x="8"/>
        <item x="44"/>
        <item x="21"/>
        <item x="29"/>
        <item x="38"/>
        <item x="15"/>
        <item x="25"/>
        <item x="31"/>
        <item x="5"/>
        <item x="27"/>
        <item x="49"/>
        <item x="11"/>
        <item x="39"/>
        <item x="37"/>
        <item x="40"/>
        <item x="35"/>
        <item x="10"/>
        <item x="4"/>
        <item x="19"/>
        <item x="6"/>
        <item x="9"/>
        <item x="24"/>
        <item x="3"/>
        <item x="2"/>
        <item x="17"/>
        <item x="16"/>
        <item x="12"/>
        <item x="22"/>
        <item x="13"/>
        <item x="20"/>
        <item x="7"/>
        <item x="46"/>
        <item x="48"/>
        <item x="30"/>
        <item t="default"/>
      </items>
    </pivotField>
    <pivotField showAll="0">
      <items count="3">
        <item x="1"/>
        <item x="0"/>
        <item t="default"/>
      </items>
    </pivotField>
    <pivotField axis="axisRow" showAll="0">
      <items count="8">
        <item x="0"/>
        <item x="1"/>
        <item x="2"/>
        <item x="3"/>
        <item x="4"/>
        <item x="5"/>
        <item x="6"/>
        <item t="default"/>
      </items>
    </pivotField>
    <pivotField showAll="0">
      <items count="7">
        <item x="1"/>
        <item x="2"/>
        <item x="0"/>
        <item x="5"/>
        <item x="3"/>
        <item x="4"/>
        <item t="default"/>
      </items>
    </pivotField>
    <pivotField showAll="0">
      <items count="7">
        <item x="2"/>
        <item x="5"/>
        <item x="3"/>
        <item x="1"/>
        <item x="0"/>
        <item x="4"/>
        <item t="default"/>
      </items>
    </pivotField>
    <pivotField showAll="0"/>
    <pivotField showAll="0"/>
    <pivotField numFmtId="3" showAll="0"/>
    <pivotField numFmtId="9" showAll="0"/>
    <pivotField showAll="0">
      <items count="4">
        <item x="0"/>
        <item x="2"/>
        <item x="1"/>
        <item t="default"/>
      </items>
    </pivotField>
    <pivotField showAll="0">
      <items count="11">
        <item x="5"/>
        <item x="4"/>
        <item x="8"/>
        <item x="6"/>
        <item x="7"/>
        <item x="2"/>
        <item x="9"/>
        <item x="0"/>
        <item x="3"/>
        <item x="1"/>
        <item t="default"/>
      </items>
    </pivotField>
    <pivotField numFmtId="3" showAll="0"/>
    <pivotField numFmtId="3" showAll="0"/>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v="1"/>
    </i>
    <i>
      <x v="2"/>
    </i>
    <i>
      <x v="3"/>
    </i>
    <i>
      <x v="4"/>
    </i>
    <i>
      <x v="5"/>
    </i>
    <i t="grand">
      <x/>
    </i>
  </rowItems>
  <colItems count="1">
    <i/>
  </colItems>
  <dataFields count="1">
    <dataField name="Count of Customer_Name" fld="2" subtotal="count" baseField="0" baseItem="0"/>
  </dataFields>
  <chartFormats count="5">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CEC495-0EF0-4FF9-BCC2-FA51DA6DC6A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13:H20" firstHeaderRow="1" firstDataRow="1" firstDataCol="1"/>
  <pivotFields count="19">
    <pivotField showAll="0"/>
    <pivotField numFmtId="164" showAll="0">
      <items count="276">
        <item x="207"/>
        <item x="91"/>
        <item x="246"/>
        <item x="151"/>
        <item x="215"/>
        <item x="128"/>
        <item x="109"/>
        <item x="194"/>
        <item x="42"/>
        <item x="41"/>
        <item x="172"/>
        <item x="85"/>
        <item x="255"/>
        <item x="22"/>
        <item x="105"/>
        <item x="127"/>
        <item x="43"/>
        <item x="72"/>
        <item x="185"/>
        <item x="114"/>
        <item x="95"/>
        <item x="139"/>
        <item x="1"/>
        <item x="15"/>
        <item x="48"/>
        <item x="108"/>
        <item x="266"/>
        <item x="271"/>
        <item x="233"/>
        <item x="216"/>
        <item x="161"/>
        <item x="123"/>
        <item x="177"/>
        <item x="252"/>
        <item x="90"/>
        <item x="211"/>
        <item x="247"/>
        <item x="221"/>
        <item x="50"/>
        <item x="89"/>
        <item x="213"/>
        <item x="47"/>
        <item x="217"/>
        <item x="224"/>
        <item x="143"/>
        <item x="118"/>
        <item x="99"/>
        <item x="16"/>
        <item x="205"/>
        <item x="142"/>
        <item x="226"/>
        <item x="149"/>
        <item x="111"/>
        <item x="32"/>
        <item x="60"/>
        <item x="121"/>
        <item x="272"/>
        <item x="12"/>
        <item x="20"/>
        <item x="239"/>
        <item x="66"/>
        <item x="189"/>
        <item x="188"/>
        <item x="63"/>
        <item x="86"/>
        <item x="191"/>
        <item x="57"/>
        <item x="243"/>
        <item x="144"/>
        <item x="59"/>
        <item x="197"/>
        <item x="8"/>
        <item x="56"/>
        <item x="257"/>
        <item x="14"/>
        <item x="229"/>
        <item x="240"/>
        <item x="104"/>
        <item x="173"/>
        <item x="166"/>
        <item x="180"/>
        <item x="25"/>
        <item x="208"/>
        <item x="97"/>
        <item x="4"/>
        <item x="64"/>
        <item x="227"/>
        <item x="274"/>
        <item x="23"/>
        <item x="73"/>
        <item x="129"/>
        <item x="51"/>
        <item x="220"/>
        <item x="167"/>
        <item x="140"/>
        <item x="19"/>
        <item x="44"/>
        <item x="219"/>
        <item x="126"/>
        <item x="262"/>
        <item x="141"/>
        <item x="236"/>
        <item x="237"/>
        <item x="55"/>
        <item x="135"/>
        <item x="258"/>
        <item x="212"/>
        <item x="152"/>
        <item x="116"/>
        <item x="125"/>
        <item x="106"/>
        <item x="120"/>
        <item x="40"/>
        <item x="195"/>
        <item x="199"/>
        <item x="155"/>
        <item x="259"/>
        <item x="223"/>
        <item x="154"/>
        <item x="136"/>
        <item x="187"/>
        <item x="28"/>
        <item x="163"/>
        <item x="87"/>
        <item x="256"/>
        <item x="206"/>
        <item x="49"/>
        <item x="137"/>
        <item x="132"/>
        <item x="131"/>
        <item x="249"/>
        <item x="119"/>
        <item x="138"/>
        <item x="153"/>
        <item x="54"/>
        <item x="102"/>
        <item x="98"/>
        <item x="268"/>
        <item x="183"/>
        <item x="181"/>
        <item x="83"/>
        <item x="38"/>
        <item x="124"/>
        <item x="214"/>
        <item x="170"/>
        <item x="88"/>
        <item x="26"/>
        <item x="238"/>
        <item x="6"/>
        <item x="70"/>
        <item x="39"/>
        <item x="260"/>
        <item x="92"/>
        <item x="2"/>
        <item x="171"/>
        <item x="94"/>
        <item x="198"/>
        <item x="80"/>
        <item x="3"/>
        <item x="210"/>
        <item x="112"/>
        <item x="79"/>
        <item x="164"/>
        <item x="53"/>
        <item x="36"/>
        <item x="93"/>
        <item x="162"/>
        <item x="77"/>
        <item x="133"/>
        <item x="182"/>
        <item x="74"/>
        <item x="251"/>
        <item x="165"/>
        <item x="244"/>
        <item x="157"/>
        <item x="241"/>
        <item x="273"/>
        <item x="209"/>
        <item x="225"/>
        <item x="10"/>
        <item x="253"/>
        <item x="265"/>
        <item x="52"/>
        <item x="0"/>
        <item x="232"/>
        <item x="33"/>
        <item x="148"/>
        <item x="150"/>
        <item x="107"/>
        <item x="235"/>
        <item x="96"/>
        <item x="130"/>
        <item x="250"/>
        <item x="169"/>
        <item x="5"/>
        <item x="196"/>
        <item x="69"/>
        <item x="248"/>
        <item x="175"/>
        <item x="158"/>
        <item x="245"/>
        <item x="263"/>
        <item x="234"/>
        <item x="75"/>
        <item x="231"/>
        <item x="203"/>
        <item x="134"/>
        <item x="21"/>
        <item x="230"/>
        <item x="9"/>
        <item x="179"/>
        <item x="18"/>
        <item x="186"/>
        <item x="176"/>
        <item x="35"/>
        <item x="201"/>
        <item x="202"/>
        <item x="13"/>
        <item x="76"/>
        <item x="200"/>
        <item x="254"/>
        <item x="11"/>
        <item x="113"/>
        <item x="156"/>
        <item x="242"/>
        <item x="178"/>
        <item x="110"/>
        <item x="174"/>
        <item x="146"/>
        <item x="190"/>
        <item x="27"/>
        <item x="269"/>
        <item x="68"/>
        <item x="30"/>
        <item x="17"/>
        <item x="270"/>
        <item x="29"/>
        <item x="61"/>
        <item x="62"/>
        <item x="100"/>
        <item x="218"/>
        <item x="204"/>
        <item x="101"/>
        <item x="145"/>
        <item x="222"/>
        <item x="82"/>
        <item x="147"/>
        <item x="184"/>
        <item x="45"/>
        <item x="267"/>
        <item x="117"/>
        <item x="71"/>
        <item x="31"/>
        <item x="65"/>
        <item x="81"/>
        <item x="46"/>
        <item x="264"/>
        <item x="7"/>
        <item x="103"/>
        <item x="160"/>
        <item x="115"/>
        <item x="168"/>
        <item x="261"/>
        <item x="84"/>
        <item x="193"/>
        <item x="159"/>
        <item x="78"/>
        <item x="34"/>
        <item x="58"/>
        <item x="67"/>
        <item x="24"/>
        <item x="228"/>
        <item x="192"/>
        <item x="122"/>
        <item x="37"/>
        <item t="default"/>
      </items>
    </pivotField>
    <pivotField showAll="0"/>
    <pivotField showAll="0">
      <items count="3">
        <item x="1"/>
        <item x="0"/>
        <item t="default"/>
      </items>
    </pivotField>
    <pivotField showAll="0">
      <items count="8">
        <item x="0"/>
        <item x="1"/>
        <item x="2"/>
        <item x="3"/>
        <item x="4"/>
        <item x="5"/>
        <item x="6"/>
        <item t="default"/>
      </items>
    </pivotField>
    <pivotField showAll="0">
      <items count="7">
        <item x="1"/>
        <item x="2"/>
        <item x="0"/>
        <item x="5"/>
        <item x="3"/>
        <item x="4"/>
        <item t="default"/>
      </items>
    </pivotField>
    <pivotField axis="axisRow" showAll="0">
      <items count="7">
        <item x="2"/>
        <item x="5"/>
        <item x="3"/>
        <item x="1"/>
        <item x="0"/>
        <item x="4"/>
        <item t="default"/>
      </items>
    </pivotField>
    <pivotField showAll="0"/>
    <pivotField showAll="0"/>
    <pivotField numFmtId="3" showAll="0"/>
    <pivotField numFmtId="9" showAll="0"/>
    <pivotField showAll="0">
      <items count="4">
        <item x="0"/>
        <item x="2"/>
        <item x="1"/>
        <item t="default"/>
      </items>
    </pivotField>
    <pivotField showAll="0">
      <items count="11">
        <item x="5"/>
        <item x="4"/>
        <item x="8"/>
        <item x="6"/>
        <item x="7"/>
        <item x="2"/>
        <item x="9"/>
        <item x="0"/>
        <item x="3"/>
        <item x="1"/>
        <item t="default"/>
      </items>
    </pivotField>
    <pivotField numFmtId="3" showAll="0"/>
    <pivotField numFmtId="3"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7">
    <i>
      <x/>
    </i>
    <i>
      <x v="1"/>
    </i>
    <i>
      <x v="2"/>
    </i>
    <i>
      <x v="3"/>
    </i>
    <i>
      <x v="4"/>
    </i>
    <i>
      <x v="5"/>
    </i>
    <i t="grand">
      <x/>
    </i>
  </rowItems>
  <colItems count="1">
    <i/>
  </colItems>
  <dataFields count="1">
    <dataField name="Sum of Net Revenue" fld="15" baseField="0" baseItem="0" numFmtId="3"/>
  </dataFields>
  <chartFormats count="5">
    <chartFormat chart="1"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957ABE-BCCF-4632-A19A-5BAFB870A95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12" firstHeaderRow="1" firstDataRow="1" firstDataCol="1"/>
  <pivotFields count="19">
    <pivotField showAll="0"/>
    <pivotField numFmtId="164" showAll="0">
      <items count="276">
        <item x="207"/>
        <item x="91"/>
        <item x="246"/>
        <item x="151"/>
        <item x="215"/>
        <item x="128"/>
        <item x="109"/>
        <item x="194"/>
        <item x="42"/>
        <item x="41"/>
        <item x="172"/>
        <item x="85"/>
        <item x="255"/>
        <item x="22"/>
        <item x="105"/>
        <item x="127"/>
        <item x="43"/>
        <item x="72"/>
        <item x="185"/>
        <item x="114"/>
        <item x="95"/>
        <item x="139"/>
        <item x="1"/>
        <item x="15"/>
        <item x="48"/>
        <item x="108"/>
        <item x="266"/>
        <item x="271"/>
        <item x="233"/>
        <item x="216"/>
        <item x="161"/>
        <item x="123"/>
        <item x="177"/>
        <item x="252"/>
        <item x="90"/>
        <item x="211"/>
        <item x="247"/>
        <item x="221"/>
        <item x="50"/>
        <item x="89"/>
        <item x="213"/>
        <item x="47"/>
        <item x="217"/>
        <item x="224"/>
        <item x="143"/>
        <item x="118"/>
        <item x="99"/>
        <item x="16"/>
        <item x="205"/>
        <item x="142"/>
        <item x="226"/>
        <item x="149"/>
        <item x="111"/>
        <item x="32"/>
        <item x="60"/>
        <item x="121"/>
        <item x="272"/>
        <item x="12"/>
        <item x="20"/>
        <item x="239"/>
        <item x="66"/>
        <item x="189"/>
        <item x="188"/>
        <item x="63"/>
        <item x="86"/>
        <item x="191"/>
        <item x="57"/>
        <item x="243"/>
        <item x="144"/>
        <item x="59"/>
        <item x="197"/>
        <item x="8"/>
        <item x="56"/>
        <item x="257"/>
        <item x="14"/>
        <item x="229"/>
        <item x="240"/>
        <item x="104"/>
        <item x="173"/>
        <item x="166"/>
        <item x="180"/>
        <item x="25"/>
        <item x="208"/>
        <item x="97"/>
        <item x="4"/>
        <item x="64"/>
        <item x="227"/>
        <item x="274"/>
        <item x="23"/>
        <item x="73"/>
        <item x="129"/>
        <item x="51"/>
        <item x="220"/>
        <item x="167"/>
        <item x="140"/>
        <item x="19"/>
        <item x="44"/>
        <item x="219"/>
        <item x="126"/>
        <item x="262"/>
        <item x="141"/>
        <item x="236"/>
        <item x="237"/>
        <item x="55"/>
        <item x="135"/>
        <item x="258"/>
        <item x="212"/>
        <item x="152"/>
        <item x="116"/>
        <item x="125"/>
        <item x="106"/>
        <item x="120"/>
        <item x="40"/>
        <item x="195"/>
        <item x="199"/>
        <item x="155"/>
        <item x="259"/>
        <item x="223"/>
        <item x="154"/>
        <item x="136"/>
        <item x="187"/>
        <item x="28"/>
        <item x="163"/>
        <item x="87"/>
        <item x="256"/>
        <item x="206"/>
        <item x="49"/>
        <item x="137"/>
        <item x="132"/>
        <item x="131"/>
        <item x="249"/>
        <item x="119"/>
        <item x="138"/>
        <item x="153"/>
        <item x="54"/>
        <item x="102"/>
        <item x="98"/>
        <item x="268"/>
        <item x="183"/>
        <item x="181"/>
        <item x="83"/>
        <item x="38"/>
        <item x="124"/>
        <item x="214"/>
        <item x="170"/>
        <item x="88"/>
        <item x="26"/>
        <item x="238"/>
        <item x="6"/>
        <item x="70"/>
        <item x="39"/>
        <item x="260"/>
        <item x="92"/>
        <item x="2"/>
        <item x="171"/>
        <item x="94"/>
        <item x="198"/>
        <item x="80"/>
        <item x="3"/>
        <item x="210"/>
        <item x="112"/>
        <item x="79"/>
        <item x="164"/>
        <item x="53"/>
        <item x="36"/>
        <item x="93"/>
        <item x="162"/>
        <item x="77"/>
        <item x="133"/>
        <item x="182"/>
        <item x="74"/>
        <item x="251"/>
        <item x="165"/>
        <item x="244"/>
        <item x="157"/>
        <item x="241"/>
        <item x="273"/>
        <item x="209"/>
        <item x="225"/>
        <item x="10"/>
        <item x="253"/>
        <item x="265"/>
        <item x="52"/>
        <item x="0"/>
        <item x="232"/>
        <item x="33"/>
        <item x="148"/>
        <item x="150"/>
        <item x="107"/>
        <item x="235"/>
        <item x="96"/>
        <item x="130"/>
        <item x="250"/>
        <item x="169"/>
        <item x="5"/>
        <item x="196"/>
        <item x="69"/>
        <item x="248"/>
        <item x="175"/>
        <item x="158"/>
        <item x="245"/>
        <item x="263"/>
        <item x="234"/>
        <item x="75"/>
        <item x="231"/>
        <item x="203"/>
        <item x="134"/>
        <item x="21"/>
        <item x="230"/>
        <item x="9"/>
        <item x="179"/>
        <item x="18"/>
        <item x="186"/>
        <item x="176"/>
        <item x="35"/>
        <item x="201"/>
        <item x="202"/>
        <item x="13"/>
        <item x="76"/>
        <item x="200"/>
        <item x="254"/>
        <item x="11"/>
        <item x="113"/>
        <item x="156"/>
        <item x="242"/>
        <item x="178"/>
        <item x="110"/>
        <item x="174"/>
        <item x="146"/>
        <item x="190"/>
        <item x="27"/>
        <item x="269"/>
        <item x="68"/>
        <item x="30"/>
        <item x="17"/>
        <item x="270"/>
        <item x="29"/>
        <item x="61"/>
        <item x="62"/>
        <item x="100"/>
        <item x="218"/>
        <item x="204"/>
        <item x="101"/>
        <item x="145"/>
        <item x="222"/>
        <item x="82"/>
        <item x="147"/>
        <item x="184"/>
        <item x="45"/>
        <item x="267"/>
        <item x="117"/>
        <item x="71"/>
        <item x="31"/>
        <item x="65"/>
        <item x="81"/>
        <item x="46"/>
        <item x="264"/>
        <item x="7"/>
        <item x="103"/>
        <item x="160"/>
        <item x="115"/>
        <item x="168"/>
        <item x="261"/>
        <item x="84"/>
        <item x="193"/>
        <item x="159"/>
        <item x="78"/>
        <item x="34"/>
        <item x="58"/>
        <item x="67"/>
        <item x="24"/>
        <item x="228"/>
        <item x="192"/>
        <item x="122"/>
        <item x="37"/>
        <item t="default"/>
      </items>
    </pivotField>
    <pivotField showAll="0"/>
    <pivotField showAll="0">
      <items count="3">
        <item x="1"/>
        <item x="0"/>
        <item t="default"/>
      </items>
    </pivotField>
    <pivotField showAll="0">
      <items count="8">
        <item x="0"/>
        <item x="1"/>
        <item x="2"/>
        <item x="3"/>
        <item x="4"/>
        <item x="5"/>
        <item x="6"/>
        <item t="default"/>
      </items>
    </pivotField>
    <pivotField showAll="0">
      <items count="7">
        <item x="1"/>
        <item x="2"/>
        <item x="0"/>
        <item x="5"/>
        <item x="3"/>
        <item x="4"/>
        <item t="default"/>
      </items>
    </pivotField>
    <pivotField showAll="0">
      <items count="7">
        <item x="2"/>
        <item x="5"/>
        <item x="3"/>
        <item x="1"/>
        <item x="0"/>
        <item x="4"/>
        <item t="default"/>
      </items>
    </pivotField>
    <pivotField showAll="0"/>
    <pivotField showAll="0"/>
    <pivotField numFmtId="3" showAll="0"/>
    <pivotField numFmtId="9" showAll="0"/>
    <pivotField showAll="0">
      <items count="4">
        <item x="0"/>
        <item x="2"/>
        <item x="1"/>
        <item t="default"/>
      </items>
    </pivotField>
    <pivotField axis="axisRow" showAll="0">
      <items count="11">
        <item x="5"/>
        <item x="4"/>
        <item x="8"/>
        <item x="6"/>
        <item x="7"/>
        <item x="2"/>
        <item x="9"/>
        <item x="0"/>
        <item x="3"/>
        <item x="1"/>
        <item t="default"/>
      </items>
    </pivotField>
    <pivotField numFmtId="3" showAll="0"/>
    <pivotField numFmtId="3" showAll="0"/>
    <pivotField dataField="1"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11">
    <i>
      <x/>
    </i>
    <i>
      <x v="1"/>
    </i>
    <i>
      <x v="2"/>
    </i>
    <i>
      <x v="3"/>
    </i>
    <i>
      <x v="4"/>
    </i>
    <i>
      <x v="5"/>
    </i>
    <i>
      <x v="6"/>
    </i>
    <i>
      <x v="7"/>
    </i>
    <i>
      <x v="8"/>
    </i>
    <i>
      <x v="9"/>
    </i>
    <i t="grand">
      <x/>
    </i>
  </rowItems>
  <colItems count="1">
    <i/>
  </colItems>
  <dataFields count="1">
    <dataField name="Sum of Net Revenue" fld="1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C9AEA0-5669-4F23-B225-4AE1143758B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23:H30" firstHeaderRow="1" firstDataRow="1" firstDataCol="1"/>
  <pivotFields count="19">
    <pivotField showAll="0"/>
    <pivotField numFmtId="164" showAll="0">
      <items count="276">
        <item x="207"/>
        <item x="91"/>
        <item x="246"/>
        <item x="151"/>
        <item x="215"/>
        <item x="128"/>
        <item x="109"/>
        <item x="194"/>
        <item x="42"/>
        <item x="41"/>
        <item x="172"/>
        <item x="85"/>
        <item x="255"/>
        <item x="22"/>
        <item x="105"/>
        <item x="127"/>
        <item x="43"/>
        <item x="72"/>
        <item x="185"/>
        <item x="114"/>
        <item x="95"/>
        <item x="139"/>
        <item x="1"/>
        <item x="15"/>
        <item x="48"/>
        <item x="108"/>
        <item x="266"/>
        <item x="271"/>
        <item x="233"/>
        <item x="216"/>
        <item x="161"/>
        <item x="123"/>
        <item x="177"/>
        <item x="252"/>
        <item x="90"/>
        <item x="211"/>
        <item x="247"/>
        <item x="221"/>
        <item x="50"/>
        <item x="89"/>
        <item x="213"/>
        <item x="47"/>
        <item x="217"/>
        <item x="224"/>
        <item x="143"/>
        <item x="118"/>
        <item x="99"/>
        <item x="16"/>
        <item x="205"/>
        <item x="142"/>
        <item x="226"/>
        <item x="149"/>
        <item x="111"/>
        <item x="32"/>
        <item x="60"/>
        <item x="121"/>
        <item x="272"/>
        <item x="12"/>
        <item x="20"/>
        <item x="239"/>
        <item x="66"/>
        <item x="189"/>
        <item x="188"/>
        <item x="63"/>
        <item x="86"/>
        <item x="191"/>
        <item x="57"/>
        <item x="243"/>
        <item x="144"/>
        <item x="59"/>
        <item x="197"/>
        <item x="8"/>
        <item x="56"/>
        <item x="257"/>
        <item x="14"/>
        <item x="229"/>
        <item x="240"/>
        <item x="104"/>
        <item x="173"/>
        <item x="166"/>
        <item x="180"/>
        <item x="25"/>
        <item x="208"/>
        <item x="97"/>
        <item x="4"/>
        <item x="64"/>
        <item x="227"/>
        <item x="274"/>
        <item x="23"/>
        <item x="73"/>
        <item x="129"/>
        <item x="51"/>
        <item x="220"/>
        <item x="167"/>
        <item x="140"/>
        <item x="19"/>
        <item x="44"/>
        <item x="219"/>
        <item x="126"/>
        <item x="262"/>
        <item x="141"/>
        <item x="236"/>
        <item x="237"/>
        <item x="55"/>
        <item x="135"/>
        <item x="258"/>
        <item x="212"/>
        <item x="152"/>
        <item x="116"/>
        <item x="125"/>
        <item x="106"/>
        <item x="120"/>
        <item x="40"/>
        <item x="195"/>
        <item x="199"/>
        <item x="155"/>
        <item x="259"/>
        <item x="223"/>
        <item x="154"/>
        <item x="136"/>
        <item x="187"/>
        <item x="28"/>
        <item x="163"/>
        <item x="87"/>
        <item x="256"/>
        <item x="206"/>
        <item x="49"/>
        <item x="137"/>
        <item x="132"/>
        <item x="131"/>
        <item x="249"/>
        <item x="119"/>
        <item x="138"/>
        <item x="153"/>
        <item x="54"/>
        <item x="102"/>
        <item x="98"/>
        <item x="268"/>
        <item x="183"/>
        <item x="181"/>
        <item x="83"/>
        <item x="38"/>
        <item x="124"/>
        <item x="214"/>
        <item x="170"/>
        <item x="88"/>
        <item x="26"/>
        <item x="238"/>
        <item x="6"/>
        <item x="70"/>
        <item x="39"/>
        <item x="260"/>
        <item x="92"/>
        <item x="2"/>
        <item x="171"/>
        <item x="94"/>
        <item x="198"/>
        <item x="80"/>
        <item x="3"/>
        <item x="210"/>
        <item x="112"/>
        <item x="79"/>
        <item x="164"/>
        <item x="53"/>
        <item x="36"/>
        <item x="93"/>
        <item x="162"/>
        <item x="77"/>
        <item x="133"/>
        <item x="182"/>
        <item x="74"/>
        <item x="251"/>
        <item x="165"/>
        <item x="244"/>
        <item x="157"/>
        <item x="241"/>
        <item x="273"/>
        <item x="209"/>
        <item x="225"/>
        <item x="10"/>
        <item x="253"/>
        <item x="265"/>
        <item x="52"/>
        <item x="0"/>
        <item x="232"/>
        <item x="33"/>
        <item x="148"/>
        <item x="150"/>
        <item x="107"/>
        <item x="235"/>
        <item x="96"/>
        <item x="130"/>
        <item x="250"/>
        <item x="169"/>
        <item x="5"/>
        <item x="196"/>
        <item x="69"/>
        <item x="248"/>
        <item x="175"/>
        <item x="158"/>
        <item x="245"/>
        <item x="263"/>
        <item x="234"/>
        <item x="75"/>
        <item x="231"/>
        <item x="203"/>
        <item x="134"/>
        <item x="21"/>
        <item x="230"/>
        <item x="9"/>
        <item x="179"/>
        <item x="18"/>
        <item x="186"/>
        <item x="176"/>
        <item x="35"/>
        <item x="201"/>
        <item x="202"/>
        <item x="13"/>
        <item x="76"/>
        <item x="200"/>
        <item x="254"/>
        <item x="11"/>
        <item x="113"/>
        <item x="156"/>
        <item x="242"/>
        <item x="178"/>
        <item x="110"/>
        <item x="174"/>
        <item x="146"/>
        <item x="190"/>
        <item x="27"/>
        <item x="269"/>
        <item x="68"/>
        <item x="30"/>
        <item x="17"/>
        <item x="270"/>
        <item x="29"/>
        <item x="61"/>
        <item x="62"/>
        <item x="100"/>
        <item x="218"/>
        <item x="204"/>
        <item x="101"/>
        <item x="145"/>
        <item x="222"/>
        <item x="82"/>
        <item x="147"/>
        <item x="184"/>
        <item x="45"/>
        <item x="267"/>
        <item x="117"/>
        <item x="71"/>
        <item x="31"/>
        <item x="65"/>
        <item x="81"/>
        <item x="46"/>
        <item x="264"/>
        <item x="7"/>
        <item x="103"/>
        <item x="160"/>
        <item x="115"/>
        <item x="168"/>
        <item x="261"/>
        <item x="84"/>
        <item x="193"/>
        <item x="159"/>
        <item x="78"/>
        <item x="34"/>
        <item x="58"/>
        <item x="67"/>
        <item x="24"/>
        <item x="228"/>
        <item x="192"/>
        <item x="122"/>
        <item x="37"/>
        <item t="default"/>
      </items>
    </pivotField>
    <pivotField showAll="0">
      <items count="51">
        <item x="36"/>
        <item x="23"/>
        <item x="14"/>
        <item x="43"/>
        <item x="32"/>
        <item x="26"/>
        <item x="47"/>
        <item x="1"/>
        <item x="41"/>
        <item x="18"/>
        <item x="28"/>
        <item x="0"/>
        <item x="34"/>
        <item x="33"/>
        <item x="45"/>
        <item x="42"/>
        <item x="8"/>
        <item x="44"/>
        <item x="21"/>
        <item x="29"/>
        <item x="38"/>
        <item x="15"/>
        <item x="25"/>
        <item x="31"/>
        <item x="5"/>
        <item x="27"/>
        <item x="49"/>
        <item x="11"/>
        <item x="39"/>
        <item x="37"/>
        <item x="40"/>
        <item x="35"/>
        <item x="10"/>
        <item x="4"/>
        <item x="19"/>
        <item x="6"/>
        <item x="9"/>
        <item x="24"/>
        <item x="3"/>
        <item x="2"/>
        <item x="17"/>
        <item x="16"/>
        <item x="12"/>
        <item x="22"/>
        <item x="13"/>
        <item x="20"/>
        <item x="7"/>
        <item x="46"/>
        <item x="48"/>
        <item x="30"/>
        <item t="default"/>
      </items>
    </pivotField>
    <pivotField showAll="0">
      <items count="3">
        <item x="1"/>
        <item x="0"/>
        <item t="default"/>
      </items>
    </pivotField>
    <pivotField showAll="0">
      <items count="8">
        <item x="0"/>
        <item x="1"/>
        <item x="2"/>
        <item x="3"/>
        <item x="4"/>
        <item x="5"/>
        <item x="6"/>
        <item t="default"/>
      </items>
    </pivotField>
    <pivotField showAll="0">
      <items count="7">
        <item x="1"/>
        <item x="2"/>
        <item x="0"/>
        <item x="5"/>
        <item x="3"/>
        <item x="4"/>
        <item t="default"/>
      </items>
    </pivotField>
    <pivotField axis="axisRow" showAll="0">
      <items count="7">
        <item x="2"/>
        <item x="5"/>
        <item x="3"/>
        <item x="1"/>
        <item x="0"/>
        <item x="4"/>
        <item t="default"/>
      </items>
    </pivotField>
    <pivotField showAll="0"/>
    <pivotField dataField="1" showAll="0"/>
    <pivotField numFmtId="3" showAll="0"/>
    <pivotField numFmtId="9" showAll="0"/>
    <pivotField showAll="0">
      <items count="4">
        <item x="0"/>
        <item x="2"/>
        <item x="1"/>
        <item t="default"/>
      </items>
    </pivotField>
    <pivotField showAll="0">
      <items count="11">
        <item x="5"/>
        <item x="4"/>
        <item x="8"/>
        <item x="6"/>
        <item x="7"/>
        <item x="2"/>
        <item x="9"/>
        <item x="0"/>
        <item x="3"/>
        <item x="1"/>
        <item t="default"/>
      </items>
    </pivotField>
    <pivotField numFmtId="3" showAll="0"/>
    <pivotField numFmtId="3" showAll="0"/>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7">
    <i>
      <x/>
    </i>
    <i>
      <x v="1"/>
    </i>
    <i>
      <x v="2"/>
    </i>
    <i>
      <x v="3"/>
    </i>
    <i>
      <x v="4"/>
    </i>
    <i>
      <x v="5"/>
    </i>
    <i t="grand">
      <x/>
    </i>
  </rowItems>
  <colItems count="1">
    <i/>
  </colItems>
  <dataFields count="1">
    <dataField name="Sum of Quantity" fld="8" baseField="0" baseItem="0"/>
  </dataFields>
  <chartFormats count="7">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6" count="1" selected="0">
            <x v="0"/>
          </reference>
        </references>
      </pivotArea>
    </chartFormat>
    <chartFormat chart="16" format="10">
      <pivotArea type="data" outline="0" fieldPosition="0">
        <references count="2">
          <reference field="4294967294" count="1" selected="0">
            <x v="0"/>
          </reference>
          <reference field="6" count="1" selected="0">
            <x v="1"/>
          </reference>
        </references>
      </pivotArea>
    </chartFormat>
    <chartFormat chart="16" format="11">
      <pivotArea type="data" outline="0" fieldPosition="0">
        <references count="2">
          <reference field="4294967294" count="1" selected="0">
            <x v="0"/>
          </reference>
          <reference field="6" count="1" selected="0">
            <x v="2"/>
          </reference>
        </references>
      </pivotArea>
    </chartFormat>
    <chartFormat chart="16" format="12">
      <pivotArea type="data" outline="0" fieldPosition="0">
        <references count="2">
          <reference field="4294967294" count="1" selected="0">
            <x v="0"/>
          </reference>
          <reference field="6" count="1" selected="0">
            <x v="3"/>
          </reference>
        </references>
      </pivotArea>
    </chartFormat>
    <chartFormat chart="16" format="13">
      <pivotArea type="data" outline="0" fieldPosition="0">
        <references count="2">
          <reference field="4294967294" count="1" selected="0">
            <x v="0"/>
          </reference>
          <reference field="6" count="1" selected="0">
            <x v="4"/>
          </reference>
        </references>
      </pivotArea>
    </chartFormat>
    <chartFormat chart="16" format="1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EE5BCF-962F-4016-9764-9BFEF75182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E8" firstHeaderRow="0" firstDataRow="1" firstDataCol="1"/>
  <pivotFields count="19">
    <pivotField dataField="1" showAll="0"/>
    <pivotField numFmtId="164" showAll="0">
      <items count="276">
        <item x="207"/>
        <item x="91"/>
        <item x="246"/>
        <item x="151"/>
        <item x="215"/>
        <item x="128"/>
        <item x="109"/>
        <item x="194"/>
        <item x="42"/>
        <item x="41"/>
        <item x="172"/>
        <item x="85"/>
        <item x="255"/>
        <item x="22"/>
        <item x="105"/>
        <item x="127"/>
        <item x="43"/>
        <item x="72"/>
        <item x="185"/>
        <item x="114"/>
        <item x="95"/>
        <item x="139"/>
        <item x="1"/>
        <item x="15"/>
        <item x="48"/>
        <item x="108"/>
        <item x="266"/>
        <item x="271"/>
        <item x="233"/>
        <item x="216"/>
        <item x="161"/>
        <item x="123"/>
        <item x="177"/>
        <item x="252"/>
        <item x="90"/>
        <item x="211"/>
        <item x="247"/>
        <item x="221"/>
        <item x="50"/>
        <item x="89"/>
        <item x="213"/>
        <item x="47"/>
        <item x="217"/>
        <item x="224"/>
        <item x="143"/>
        <item x="118"/>
        <item x="99"/>
        <item x="16"/>
        <item x="205"/>
        <item x="142"/>
        <item x="226"/>
        <item x="149"/>
        <item x="111"/>
        <item x="32"/>
        <item x="60"/>
        <item x="121"/>
        <item x="272"/>
        <item x="12"/>
        <item x="20"/>
        <item x="239"/>
        <item x="66"/>
        <item x="189"/>
        <item x="188"/>
        <item x="63"/>
        <item x="86"/>
        <item x="191"/>
        <item x="57"/>
        <item x="243"/>
        <item x="144"/>
        <item x="59"/>
        <item x="197"/>
        <item x="8"/>
        <item x="56"/>
        <item x="257"/>
        <item x="14"/>
        <item x="229"/>
        <item x="240"/>
        <item x="104"/>
        <item x="173"/>
        <item x="166"/>
        <item x="180"/>
        <item x="25"/>
        <item x="208"/>
        <item x="97"/>
        <item x="4"/>
        <item x="64"/>
        <item x="227"/>
        <item x="274"/>
        <item x="23"/>
        <item x="73"/>
        <item x="129"/>
        <item x="51"/>
        <item x="220"/>
        <item x="167"/>
        <item x="140"/>
        <item x="19"/>
        <item x="44"/>
        <item x="219"/>
        <item x="126"/>
        <item x="262"/>
        <item x="141"/>
        <item x="236"/>
        <item x="237"/>
        <item x="55"/>
        <item x="135"/>
        <item x="258"/>
        <item x="212"/>
        <item x="152"/>
        <item x="116"/>
        <item x="125"/>
        <item x="106"/>
        <item x="120"/>
        <item x="40"/>
        <item x="195"/>
        <item x="199"/>
        <item x="155"/>
        <item x="259"/>
        <item x="223"/>
        <item x="154"/>
        <item x="136"/>
        <item x="187"/>
        <item x="28"/>
        <item x="163"/>
        <item x="87"/>
        <item x="256"/>
        <item x="206"/>
        <item x="49"/>
        <item x="137"/>
        <item x="132"/>
        <item x="131"/>
        <item x="249"/>
        <item x="119"/>
        <item x="138"/>
        <item x="153"/>
        <item x="54"/>
        <item x="102"/>
        <item x="98"/>
        <item x="268"/>
        <item x="183"/>
        <item x="181"/>
        <item x="83"/>
        <item x="38"/>
        <item x="124"/>
        <item x="214"/>
        <item x="170"/>
        <item x="88"/>
        <item x="26"/>
        <item x="238"/>
        <item x="6"/>
        <item x="70"/>
        <item x="39"/>
        <item x="260"/>
        <item x="92"/>
        <item x="2"/>
        <item x="171"/>
        <item x="94"/>
        <item x="198"/>
        <item x="80"/>
        <item x="3"/>
        <item x="210"/>
        <item x="112"/>
        <item x="79"/>
        <item x="164"/>
        <item x="53"/>
        <item x="36"/>
        <item x="93"/>
        <item x="162"/>
        <item x="77"/>
        <item x="133"/>
        <item x="182"/>
        <item x="74"/>
        <item x="251"/>
        <item x="165"/>
        <item x="244"/>
        <item x="157"/>
        <item x="241"/>
        <item x="273"/>
        <item x="209"/>
        <item x="225"/>
        <item x="10"/>
        <item x="253"/>
        <item x="265"/>
        <item x="52"/>
        <item x="0"/>
        <item x="232"/>
        <item x="33"/>
        <item x="148"/>
        <item x="150"/>
        <item x="107"/>
        <item x="235"/>
        <item x="96"/>
        <item x="130"/>
        <item x="250"/>
        <item x="169"/>
        <item x="5"/>
        <item x="196"/>
        <item x="69"/>
        <item x="248"/>
        <item x="175"/>
        <item x="158"/>
        <item x="245"/>
        <item x="263"/>
        <item x="234"/>
        <item x="75"/>
        <item x="231"/>
        <item x="203"/>
        <item x="134"/>
        <item x="21"/>
        <item x="230"/>
        <item x="9"/>
        <item x="179"/>
        <item x="18"/>
        <item x="186"/>
        <item x="176"/>
        <item x="35"/>
        <item x="201"/>
        <item x="202"/>
        <item x="13"/>
        <item x="76"/>
        <item x="200"/>
        <item x="254"/>
        <item x="11"/>
        <item x="113"/>
        <item x="156"/>
        <item x="242"/>
        <item x="178"/>
        <item x="110"/>
        <item x="174"/>
        <item x="146"/>
        <item x="190"/>
        <item x="27"/>
        <item x="269"/>
        <item x="68"/>
        <item x="30"/>
        <item x="17"/>
        <item x="270"/>
        <item x="29"/>
        <item x="61"/>
        <item x="62"/>
        <item x="100"/>
        <item x="218"/>
        <item x="204"/>
        <item x="101"/>
        <item x="145"/>
        <item x="222"/>
        <item x="82"/>
        <item x="147"/>
        <item x="184"/>
        <item x="45"/>
        <item x="267"/>
        <item x="117"/>
        <item x="71"/>
        <item x="31"/>
        <item x="65"/>
        <item x="81"/>
        <item x="46"/>
        <item x="264"/>
        <item x="7"/>
        <item x="103"/>
        <item x="160"/>
        <item x="115"/>
        <item x="168"/>
        <item x="261"/>
        <item x="84"/>
        <item x="193"/>
        <item x="159"/>
        <item x="78"/>
        <item x="34"/>
        <item x="58"/>
        <item x="67"/>
        <item x="24"/>
        <item x="228"/>
        <item x="192"/>
        <item x="122"/>
        <item x="37"/>
        <item t="default"/>
      </items>
    </pivotField>
    <pivotField showAll="0">
      <items count="51">
        <item x="36"/>
        <item x="23"/>
        <item x="14"/>
        <item x="43"/>
        <item x="32"/>
        <item x="26"/>
        <item x="47"/>
        <item x="1"/>
        <item x="41"/>
        <item x="18"/>
        <item x="28"/>
        <item x="0"/>
        <item x="34"/>
        <item x="33"/>
        <item x="45"/>
        <item x="42"/>
        <item x="8"/>
        <item x="44"/>
        <item x="21"/>
        <item x="29"/>
        <item x="38"/>
        <item x="15"/>
        <item x="25"/>
        <item x="31"/>
        <item x="5"/>
        <item x="27"/>
        <item x="49"/>
        <item x="11"/>
        <item x="39"/>
        <item x="37"/>
        <item x="40"/>
        <item x="35"/>
        <item x="10"/>
        <item x="4"/>
        <item x="19"/>
        <item x="6"/>
        <item x="9"/>
        <item x="24"/>
        <item x="3"/>
        <item x="2"/>
        <item x="17"/>
        <item x="16"/>
        <item x="12"/>
        <item x="22"/>
        <item x="13"/>
        <item x="20"/>
        <item x="7"/>
        <item x="46"/>
        <item x="48"/>
        <item x="30"/>
        <item t="default"/>
      </items>
    </pivotField>
    <pivotField showAll="0">
      <items count="3">
        <item x="1"/>
        <item x="0"/>
        <item t="default"/>
      </items>
    </pivotField>
    <pivotField showAll="0">
      <items count="8">
        <item x="0"/>
        <item x="1"/>
        <item x="2"/>
        <item x="3"/>
        <item x="4"/>
        <item x="5"/>
        <item x="6"/>
        <item t="default"/>
      </items>
    </pivotField>
    <pivotField showAll="0">
      <items count="7">
        <item x="1"/>
        <item x="2"/>
        <item x="0"/>
        <item x="5"/>
        <item x="3"/>
        <item x="4"/>
        <item t="default"/>
      </items>
    </pivotField>
    <pivotField axis="axisRow" showAll="0">
      <items count="7">
        <item x="2"/>
        <item x="5"/>
        <item x="3"/>
        <item x="1"/>
        <item x="0"/>
        <item x="4"/>
        <item t="default"/>
      </items>
    </pivotField>
    <pivotField showAll="0"/>
    <pivotField showAll="0"/>
    <pivotField numFmtId="3" showAll="0"/>
    <pivotField numFmtId="9" showAll="0"/>
    <pivotField showAll="0">
      <items count="4">
        <item x="0"/>
        <item x="2"/>
        <item x="1"/>
        <item t="default"/>
      </items>
    </pivotField>
    <pivotField showAll="0">
      <items count="11">
        <item x="5"/>
        <item x="4"/>
        <item x="8"/>
        <item x="6"/>
        <item x="7"/>
        <item x="2"/>
        <item x="9"/>
        <item x="0"/>
        <item x="3"/>
        <item x="1"/>
        <item t="default"/>
      </items>
    </pivotField>
    <pivotField dataField="1" numFmtId="3" showAll="0"/>
    <pivotField dataField="1" numFmtId="3" showAll="0"/>
    <pivotField dataField="1"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7">
    <i>
      <x/>
    </i>
    <i>
      <x v="1"/>
    </i>
    <i>
      <x v="2"/>
    </i>
    <i>
      <x v="3"/>
    </i>
    <i>
      <x v="4"/>
    </i>
    <i>
      <x v="5"/>
    </i>
    <i t="grand">
      <x/>
    </i>
  </rowItems>
  <colFields count="1">
    <field x="-2"/>
  </colFields>
  <colItems count="4">
    <i>
      <x/>
    </i>
    <i i="1">
      <x v="1"/>
    </i>
    <i i="2">
      <x v="2"/>
    </i>
    <i i="3">
      <x v="3"/>
    </i>
  </colItems>
  <dataFields count="4">
    <dataField name="Sum of Net Revenue" fld="15" baseField="0" baseItem="0" numFmtId="3"/>
    <dataField name="Count of Order_ID" fld="0" subtotal="count" baseField="0" baseItem="0"/>
    <dataField name="Sum of Gross Sales" fld="13" baseField="0" baseItem="0" numFmtId="3"/>
    <dataField name="Sum of Discount Amount" fld="14" baseField="0" baseItem="0" numFmtId="3"/>
  </dataFields>
  <chartFormats count="4">
    <chartFormat chart="8" format="0" series="1">
      <pivotArea type="data" outline="0" fieldPosition="0">
        <references count="1">
          <reference field="4294967294" count="1" selected="0">
            <x v="1"/>
          </reference>
        </references>
      </pivotArea>
    </chartFormat>
    <chartFormat chart="8" format="1" series="1">
      <pivotArea type="data" outline="0" fieldPosition="0">
        <references count="1">
          <reference field="4294967294" count="1" selected="0">
            <x v="2"/>
          </reference>
        </references>
      </pivotArea>
    </chartFormat>
    <chartFormat chart="8" format="2" series="1">
      <pivotArea type="data" outline="0" fieldPosition="0">
        <references count="1">
          <reference field="4294967294" count="1" selected="0">
            <x v="3"/>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78FD223-6104-4416-9D4E-5F94721D63E4}" sourceName="City">
  <pivotTables>
    <pivotTable tabId="5" name="PivotTable2"/>
    <pivotTable tabId="5" name="PivotTable4"/>
    <pivotTable tabId="5" name="PivotTable5"/>
    <pivotTable tabId="5" name="PivotTable1"/>
    <pivotTable tabId="5" name="PivotTable7"/>
    <pivotTable tabId="5" name="PivotTable8"/>
    <pivotTable tabId="5" name="PivotTable3"/>
    <pivotTable tabId="5" name="PivotTable6"/>
  </pivotTables>
  <data>
    <tabular pivotCacheId="1206064889">
      <items count="6">
        <i x="1" s="1"/>
        <i x="2" s="1"/>
        <i x="0" s="1"/>
        <i x="5"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5E3591F-2909-4F47-9E89-A6B9E1E56B63}" sourceName="Product_Category">
  <pivotTables>
    <pivotTable tabId="5" name="PivotTable2"/>
    <pivotTable tabId="5" name="PivotTable4"/>
    <pivotTable tabId="5" name="PivotTable5"/>
    <pivotTable tabId="5" name="PivotTable1"/>
    <pivotTable tabId="5" name="PivotTable7"/>
    <pivotTable tabId="5" name="PivotTable8"/>
    <pivotTable tabId="5" name="PivotTable3"/>
    <pivotTable tabId="5" name="PivotTable6"/>
  </pivotTables>
  <data>
    <tabular pivotCacheId="1206064889">
      <items count="6">
        <i x="2" s="1"/>
        <i x="5" s="1"/>
        <i x="3"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3ED0751-45B6-4A80-B7E5-C2045589FD86}" sourceName="Payment_Method">
  <pivotTables>
    <pivotTable tabId="5" name="PivotTable2"/>
    <pivotTable tabId="5" name="PivotTable4"/>
    <pivotTable tabId="5" name="PivotTable5"/>
    <pivotTable tabId="5" name="PivotTable1"/>
    <pivotTable tabId="5" name="PivotTable7"/>
    <pivotTable tabId="5" name="PivotTable8"/>
    <pivotTable tabId="5" name="PivotTable3"/>
    <pivotTable tabId="5" name="PivotTable6"/>
  </pivotTables>
  <data>
    <tabular pivotCacheId="120606488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55C1B62-ED43-4AEC-BDF1-3AAEEE2B98F9}" sourceName="Gender">
  <pivotTables>
    <pivotTable tabId="5" name="PivotTable2"/>
    <pivotTable tabId="5" name="PivotTable4"/>
    <pivotTable tabId="5" name="PivotTable5"/>
    <pivotTable tabId="5" name="PivotTable1"/>
    <pivotTable tabId="5" name="PivotTable7"/>
    <pivotTable tabId="5" name="PivotTable8"/>
    <pivotTable tabId="5" name="PivotTable3"/>
    <pivotTable tabId="5" name="PivotTable6"/>
  </pivotTables>
  <data>
    <tabular pivotCacheId="120606488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C97389C-C577-43A9-82F4-96FC02C3A4A0}" sourceName="Salesperson">
  <pivotTables>
    <pivotTable tabId="5" name="PivotTable2"/>
    <pivotTable tabId="5" name="PivotTable4"/>
    <pivotTable tabId="5" name="PivotTable5"/>
    <pivotTable tabId="5" name="PivotTable1"/>
    <pivotTable tabId="5" name="PivotTable7"/>
    <pivotTable tabId="5" name="PivotTable8"/>
  </pivotTables>
  <data>
    <tabular pivotCacheId="1206064889">
      <items count="10">
        <i x="5" s="1"/>
        <i x="4" s="1"/>
        <i x="8" s="1"/>
        <i x="6" s="1"/>
        <i x="7" s="1"/>
        <i x="2" s="1"/>
        <i x="9"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60BB86E-E42C-46F1-98F5-9B9234635E8D}" cache="Slicer_City" caption="City" style="Slicer Style 6" rowHeight="241300"/>
  <slicer name="Product_Category" xr10:uid="{7636FD34-1524-478E-B90A-1755BCCABEBB}" cache="Slicer_Product_Category" caption="Product_Category" style="Slicer Style 6" rowHeight="241300"/>
  <slicer name="Payment_Method" xr10:uid="{E3F7F6A8-7452-4426-8F9C-75902BBE7CBD}" cache="Slicer_Payment_Method" caption="Payment_Method" style="Slicer Style 6" rowHeight="241300"/>
  <slicer name="Gender" xr10:uid="{972CA374-4A13-4D64-82AE-1B0738E37B77}" cache="Slicer_Gender" caption="Gender" startItem="1" style="Slicer Style 6" rowHeight="241300"/>
  <slicer name="Salesperson" xr10:uid="{C96FC836-4C6F-4B5F-8C4E-9124F3B874EC}" cache="Slicer_Salesperson" caption="Salesperson" style="Slicer Style 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03C5D-B99B-4386-B067-1149385DE0FD}">
  <dimension ref="A1"/>
  <sheetViews>
    <sheetView showGridLines="0" tabSelected="1" zoomScale="80" zoomScaleNormal="80" workbookViewId="0">
      <selection activeCell="Q36" sqref="Q36"/>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F94E7-E7C1-4315-A6C0-C4839AF8744B}">
  <dimension ref="A1:K40"/>
  <sheetViews>
    <sheetView showGridLines="0" topLeftCell="A8" workbookViewId="0">
      <selection activeCell="E18" sqref="E18"/>
    </sheetView>
  </sheetViews>
  <sheetFormatPr defaultRowHeight="15" x14ac:dyDescent="0.25"/>
  <cols>
    <col min="1" max="1" width="14.5703125" bestFit="1" customWidth="1"/>
    <col min="2" max="2" width="13.140625" bestFit="1" customWidth="1"/>
    <col min="3" max="3" width="17.85546875" bestFit="1" customWidth="1"/>
    <col min="4" max="4" width="13.140625" bestFit="1" customWidth="1"/>
    <col min="5" max="5" width="24.28515625" bestFit="1" customWidth="1"/>
    <col min="6" max="6" width="15.42578125" bestFit="1" customWidth="1"/>
    <col min="7" max="7" width="14.5703125" bestFit="1" customWidth="1"/>
    <col min="8" max="8" width="15.42578125" bestFit="1" customWidth="1"/>
    <col min="9" max="9" width="13.140625" bestFit="1" customWidth="1"/>
    <col min="10" max="10" width="14.5703125" bestFit="1" customWidth="1"/>
    <col min="11" max="11" width="19.42578125" bestFit="1" customWidth="1"/>
    <col min="12" max="13" width="23.28515625" bestFit="1" customWidth="1"/>
    <col min="14" max="14" width="17" customWidth="1"/>
  </cols>
  <sheetData>
    <row r="1" spans="1:11" x14ac:dyDescent="0.25">
      <c r="A1" s="7" t="s">
        <v>617</v>
      </c>
      <c r="B1" t="s">
        <v>619</v>
      </c>
      <c r="C1" t="s">
        <v>622</v>
      </c>
      <c r="D1" t="s">
        <v>621</v>
      </c>
      <c r="E1" t="s">
        <v>620</v>
      </c>
      <c r="G1" s="7" t="s">
        <v>617</v>
      </c>
      <c r="H1" t="s">
        <v>619</v>
      </c>
      <c r="J1" s="7" t="s">
        <v>617</v>
      </c>
      <c r="K1" t="s">
        <v>619</v>
      </c>
    </row>
    <row r="2" spans="1:11" x14ac:dyDescent="0.25">
      <c r="A2" s="8" t="s">
        <v>35</v>
      </c>
      <c r="B2" s="11">
        <v>1620758</v>
      </c>
      <c r="C2" s="18">
        <v>90</v>
      </c>
      <c r="D2" s="11">
        <v>1791800</v>
      </c>
      <c r="E2" s="11">
        <v>171042</v>
      </c>
      <c r="G2" s="8" t="s">
        <v>56</v>
      </c>
      <c r="H2" s="11">
        <v>10510460</v>
      </c>
      <c r="J2" s="8" t="s">
        <v>35</v>
      </c>
      <c r="K2" s="13">
        <v>1620758</v>
      </c>
    </row>
    <row r="3" spans="1:11" x14ac:dyDescent="0.25">
      <c r="A3" s="8" t="s">
        <v>65</v>
      </c>
      <c r="B3" s="11">
        <v>3626370</v>
      </c>
      <c r="C3" s="18">
        <v>87</v>
      </c>
      <c r="D3" s="11">
        <v>3983200</v>
      </c>
      <c r="E3" s="11">
        <v>356830</v>
      </c>
      <c r="G3" s="8" t="s">
        <v>48</v>
      </c>
      <c r="H3" s="11">
        <v>12381924</v>
      </c>
      <c r="J3" s="8" t="s">
        <v>65</v>
      </c>
      <c r="K3" s="13">
        <v>3626370</v>
      </c>
    </row>
    <row r="4" spans="1:11" x14ac:dyDescent="0.25">
      <c r="A4" s="8" t="s">
        <v>45</v>
      </c>
      <c r="B4" s="11">
        <v>35376590</v>
      </c>
      <c r="C4" s="18">
        <v>80</v>
      </c>
      <c r="D4" s="11">
        <v>39458600</v>
      </c>
      <c r="E4" s="11">
        <v>4082010</v>
      </c>
      <c r="G4" s="8" t="s">
        <v>94</v>
      </c>
      <c r="H4" s="11">
        <v>15609095</v>
      </c>
      <c r="J4" s="8" t="s">
        <v>20</v>
      </c>
      <c r="K4" s="13">
        <v>6424696</v>
      </c>
    </row>
    <row r="5" spans="1:11" x14ac:dyDescent="0.25">
      <c r="A5" s="8" t="s">
        <v>27</v>
      </c>
      <c r="B5" s="11">
        <v>32469504</v>
      </c>
      <c r="C5" s="18">
        <v>78</v>
      </c>
      <c r="D5" s="11">
        <v>35508000</v>
      </c>
      <c r="E5" s="11">
        <v>3038496</v>
      </c>
      <c r="G5" s="8" t="s">
        <v>60</v>
      </c>
      <c r="H5" s="11">
        <v>17359975</v>
      </c>
      <c r="J5" s="8" t="s">
        <v>27</v>
      </c>
      <c r="K5" s="13">
        <v>32469504</v>
      </c>
    </row>
    <row r="6" spans="1:11" x14ac:dyDescent="0.25">
      <c r="A6" s="8" t="s">
        <v>20</v>
      </c>
      <c r="B6" s="11">
        <v>6424696</v>
      </c>
      <c r="C6" s="18">
        <v>73</v>
      </c>
      <c r="D6" s="11">
        <v>7087900</v>
      </c>
      <c r="E6" s="11">
        <v>663204</v>
      </c>
      <c r="G6" s="8" t="s">
        <v>68</v>
      </c>
      <c r="H6" s="11">
        <v>14800820</v>
      </c>
      <c r="J6" s="8" t="s">
        <v>45</v>
      </c>
      <c r="K6" s="13">
        <v>35376590</v>
      </c>
    </row>
    <row r="7" spans="1:11" x14ac:dyDescent="0.25">
      <c r="A7" s="8" t="s">
        <v>51</v>
      </c>
      <c r="B7" s="11">
        <v>71755404</v>
      </c>
      <c r="C7" s="18">
        <v>92</v>
      </c>
      <c r="D7" s="11">
        <v>79161400</v>
      </c>
      <c r="E7" s="11">
        <v>7405996</v>
      </c>
      <c r="G7" s="8" t="s">
        <v>37</v>
      </c>
      <c r="H7" s="11">
        <v>14466221</v>
      </c>
      <c r="J7" s="8" t="s">
        <v>51</v>
      </c>
      <c r="K7" s="13">
        <v>71755404</v>
      </c>
    </row>
    <row r="8" spans="1:11" x14ac:dyDescent="0.25">
      <c r="A8" s="8" t="s">
        <v>618</v>
      </c>
      <c r="B8" s="11">
        <v>151273322</v>
      </c>
      <c r="C8" s="18">
        <v>500</v>
      </c>
      <c r="D8" s="11">
        <v>166990900</v>
      </c>
      <c r="E8" s="11">
        <v>15717578</v>
      </c>
      <c r="G8" s="8" t="s">
        <v>112</v>
      </c>
      <c r="H8" s="11">
        <v>14387925</v>
      </c>
      <c r="J8" s="8" t="s">
        <v>618</v>
      </c>
      <c r="K8" s="13">
        <v>151273322</v>
      </c>
    </row>
    <row r="9" spans="1:11" x14ac:dyDescent="0.25">
      <c r="G9" s="8" t="s">
        <v>23</v>
      </c>
      <c r="H9" s="11">
        <v>18828963</v>
      </c>
    </row>
    <row r="10" spans="1:11" x14ac:dyDescent="0.25">
      <c r="G10" s="8" t="s">
        <v>42</v>
      </c>
      <c r="H10" s="11">
        <v>9241196</v>
      </c>
    </row>
    <row r="11" spans="1:11" x14ac:dyDescent="0.25">
      <c r="A11" s="9" t="s">
        <v>617</v>
      </c>
      <c r="B11" s="9" t="s">
        <v>622</v>
      </c>
      <c r="C11" s="9" t="s">
        <v>621</v>
      </c>
      <c r="D11" s="9" t="s">
        <v>620</v>
      </c>
      <c r="E11" s="9" t="s">
        <v>619</v>
      </c>
      <c r="G11" s="8" t="s">
        <v>30</v>
      </c>
      <c r="H11" s="11">
        <v>23686743</v>
      </c>
    </row>
    <row r="12" spans="1:11" x14ac:dyDescent="0.25">
      <c r="A12" t="s">
        <v>35</v>
      </c>
      <c r="B12">
        <f>IFERROR(GETPIVOTDATA("Count of Order_ID",$A$1,"Product_Category",A12),0)</f>
        <v>90</v>
      </c>
      <c r="C12" s="11">
        <f>IFERROR(GETPIVOTDATA("Sum of Gross Sales",$A$1,"Product_Category",A12),0)</f>
        <v>1791800</v>
      </c>
      <c r="D12" s="11">
        <f>IFERROR(GETPIVOTDATA("Sum of Discount Amount",$A$1,"Product_Category",A12),0)</f>
        <v>171042</v>
      </c>
      <c r="E12" s="11">
        <f>IFERROR(GETPIVOTDATA("Sum of Net Revenue",$A$1,"Product_Category",A12),0)</f>
        <v>1620758</v>
      </c>
      <c r="G12" s="8" t="s">
        <v>618</v>
      </c>
      <c r="H12" s="11">
        <v>151273322</v>
      </c>
    </row>
    <row r="13" spans="1:11" x14ac:dyDescent="0.25">
      <c r="A13" t="s">
        <v>65</v>
      </c>
      <c r="B13">
        <f t="shared" ref="B13:B17" si="0">IFERROR(GETPIVOTDATA("Count of Order_ID",$A$1,"Product_Category",A13),0)</f>
        <v>87</v>
      </c>
      <c r="C13" s="11">
        <f t="shared" ref="C13:C17" si="1">IFERROR(GETPIVOTDATA("Sum of Gross Sales",$A$1,"Product_Category",A13),0)</f>
        <v>3983200</v>
      </c>
      <c r="D13" s="11">
        <f t="shared" ref="D13:D17" si="2">IFERROR(GETPIVOTDATA("Sum of Discount Amount",$A$1,"Product_Category",A13),0)</f>
        <v>356830</v>
      </c>
      <c r="E13" s="11">
        <f t="shared" ref="E13:E17" si="3">IFERROR(GETPIVOTDATA("Sum of Net Revenue",$A$1,"Product_Category",A13),0)</f>
        <v>3626370</v>
      </c>
      <c r="G13" s="7" t="s">
        <v>617</v>
      </c>
      <c r="H13" t="s">
        <v>619</v>
      </c>
    </row>
    <row r="14" spans="1:11" x14ac:dyDescent="0.25">
      <c r="A14" t="s">
        <v>45</v>
      </c>
      <c r="B14">
        <f t="shared" si="0"/>
        <v>80</v>
      </c>
      <c r="C14" s="11">
        <f t="shared" si="1"/>
        <v>39458600</v>
      </c>
      <c r="D14" s="11">
        <f t="shared" si="2"/>
        <v>4082010</v>
      </c>
      <c r="E14" s="11">
        <f t="shared" si="3"/>
        <v>35376590</v>
      </c>
      <c r="G14" s="8" t="s">
        <v>35</v>
      </c>
      <c r="H14" s="11">
        <v>1620758</v>
      </c>
    </row>
    <row r="15" spans="1:11" x14ac:dyDescent="0.25">
      <c r="A15" t="s">
        <v>27</v>
      </c>
      <c r="B15">
        <f t="shared" si="0"/>
        <v>78</v>
      </c>
      <c r="C15" s="11">
        <f t="shared" si="1"/>
        <v>35508000</v>
      </c>
      <c r="D15" s="11">
        <f t="shared" si="2"/>
        <v>3038496</v>
      </c>
      <c r="E15" s="11">
        <f t="shared" si="3"/>
        <v>32469504</v>
      </c>
      <c r="G15" s="8" t="s">
        <v>65</v>
      </c>
      <c r="H15" s="11">
        <v>3626370</v>
      </c>
    </row>
    <row r="16" spans="1:11" x14ac:dyDescent="0.25">
      <c r="A16" t="s">
        <v>20</v>
      </c>
      <c r="B16">
        <f t="shared" si="0"/>
        <v>73</v>
      </c>
      <c r="C16" s="11">
        <f t="shared" si="1"/>
        <v>7087900</v>
      </c>
      <c r="D16" s="11">
        <f t="shared" si="2"/>
        <v>663204</v>
      </c>
      <c r="E16" s="11">
        <f t="shared" si="3"/>
        <v>6424696</v>
      </c>
      <c r="G16" s="8" t="s">
        <v>45</v>
      </c>
      <c r="H16" s="11">
        <v>35376590</v>
      </c>
      <c r="I16" s="7" t="s">
        <v>617</v>
      </c>
      <c r="J16" t="s">
        <v>619</v>
      </c>
    </row>
    <row r="17" spans="1:10" x14ac:dyDescent="0.25">
      <c r="A17" t="s">
        <v>51</v>
      </c>
      <c r="B17">
        <f t="shared" si="0"/>
        <v>92</v>
      </c>
      <c r="C17" s="11">
        <f t="shared" si="1"/>
        <v>79161400</v>
      </c>
      <c r="D17" s="11">
        <f t="shared" si="2"/>
        <v>7405996</v>
      </c>
      <c r="E17" s="11">
        <f t="shared" si="3"/>
        <v>71755404</v>
      </c>
      <c r="G17" s="8" t="s">
        <v>27</v>
      </c>
      <c r="H17" s="11">
        <v>32469504</v>
      </c>
      <c r="I17" s="8" t="s">
        <v>635</v>
      </c>
      <c r="J17" s="12">
        <v>10127051</v>
      </c>
    </row>
    <row r="18" spans="1:10" x14ac:dyDescent="0.25">
      <c r="A18" s="9" t="s">
        <v>618</v>
      </c>
      <c r="B18" s="9">
        <f>GETPIVOTDATA("Count of Order_ID",$A$1)</f>
        <v>500</v>
      </c>
      <c r="C18" s="10">
        <f>GETPIVOTDATA("Sum of Gross Sales",$A$1)</f>
        <v>166990900</v>
      </c>
      <c r="D18" s="10">
        <f>GETPIVOTDATA("Sum of Discount Amount",$A$1)</f>
        <v>15717578</v>
      </c>
      <c r="E18" s="10">
        <f>GETPIVOTDATA("Sum of Net Revenue",$A$1)</f>
        <v>151273322</v>
      </c>
      <c r="G18" s="8" t="s">
        <v>20</v>
      </c>
      <c r="H18" s="11">
        <v>6424696</v>
      </c>
      <c r="I18" s="8" t="s">
        <v>636</v>
      </c>
      <c r="J18" s="12">
        <v>11649819</v>
      </c>
    </row>
    <row r="19" spans="1:10" x14ac:dyDescent="0.25">
      <c r="G19" s="8" t="s">
        <v>51</v>
      </c>
      <c r="H19" s="11">
        <v>71755404</v>
      </c>
      <c r="I19" s="8" t="s">
        <v>637</v>
      </c>
      <c r="J19" s="12">
        <v>13025772</v>
      </c>
    </row>
    <row r="20" spans="1:10" x14ac:dyDescent="0.25">
      <c r="A20" t="s">
        <v>623</v>
      </c>
      <c r="B20" s="16">
        <f>E18</f>
        <v>151273322</v>
      </c>
      <c r="G20" s="8" t="s">
        <v>618</v>
      </c>
      <c r="H20" s="11">
        <v>151273322</v>
      </c>
      <c r="I20" s="8" t="s">
        <v>638</v>
      </c>
      <c r="J20" s="12">
        <v>13094160</v>
      </c>
    </row>
    <row r="21" spans="1:10" x14ac:dyDescent="0.25">
      <c r="A21" t="s">
        <v>624</v>
      </c>
      <c r="B21">
        <f>B18</f>
        <v>500</v>
      </c>
      <c r="I21" s="8" t="s">
        <v>639</v>
      </c>
      <c r="J21" s="12">
        <v>10812960</v>
      </c>
    </row>
    <row r="22" spans="1:10" x14ac:dyDescent="0.25">
      <c r="A22" t="s">
        <v>628</v>
      </c>
      <c r="B22" s="17">
        <f>E18/B18</f>
        <v>302546.64399999997</v>
      </c>
      <c r="I22" s="8" t="s">
        <v>640</v>
      </c>
      <c r="J22" s="12">
        <v>13635502</v>
      </c>
    </row>
    <row r="23" spans="1:10" x14ac:dyDescent="0.25">
      <c r="A23" t="s">
        <v>625</v>
      </c>
      <c r="B23" s="16">
        <f>D18</f>
        <v>15717578</v>
      </c>
      <c r="D23" s="7" t="s">
        <v>617</v>
      </c>
      <c r="E23" t="s">
        <v>641</v>
      </c>
      <c r="G23" s="7" t="s">
        <v>617</v>
      </c>
      <c r="H23" t="s">
        <v>647</v>
      </c>
      <c r="I23" s="8" t="s">
        <v>629</v>
      </c>
      <c r="J23" s="12">
        <v>15350652</v>
      </c>
    </row>
    <row r="24" spans="1:10" x14ac:dyDescent="0.25">
      <c r="A24" t="s">
        <v>626</v>
      </c>
      <c r="D24" s="8" t="s">
        <v>642</v>
      </c>
      <c r="E24" s="18">
        <v>103</v>
      </c>
      <c r="G24" s="8" t="s">
        <v>35</v>
      </c>
      <c r="H24" s="18">
        <v>483</v>
      </c>
      <c r="I24" s="8" t="s">
        <v>630</v>
      </c>
      <c r="J24" s="12">
        <v>11878918</v>
      </c>
    </row>
    <row r="25" spans="1:10" x14ac:dyDescent="0.25">
      <c r="A25" t="s">
        <v>627</v>
      </c>
      <c r="D25" s="8" t="s">
        <v>643</v>
      </c>
      <c r="E25" s="18">
        <v>95</v>
      </c>
      <c r="G25" s="8" t="s">
        <v>65</v>
      </c>
      <c r="H25" s="18">
        <v>408</v>
      </c>
      <c r="I25" s="8" t="s">
        <v>631</v>
      </c>
      <c r="J25" s="12">
        <v>9417975</v>
      </c>
    </row>
    <row r="26" spans="1:10" x14ac:dyDescent="0.25">
      <c r="D26" s="8" t="s">
        <v>644</v>
      </c>
      <c r="E26" s="18">
        <v>107</v>
      </c>
      <c r="G26" s="8" t="s">
        <v>45</v>
      </c>
      <c r="H26" s="18">
        <v>460</v>
      </c>
      <c r="I26" s="8" t="s">
        <v>632</v>
      </c>
      <c r="J26" s="12">
        <v>22488627</v>
      </c>
    </row>
    <row r="27" spans="1:10" x14ac:dyDescent="0.25">
      <c r="D27" s="8" t="s">
        <v>645</v>
      </c>
      <c r="E27" s="18">
        <v>99</v>
      </c>
      <c r="G27" s="8" t="s">
        <v>27</v>
      </c>
      <c r="H27" s="18">
        <v>431</v>
      </c>
      <c r="I27" s="8" t="s">
        <v>633</v>
      </c>
      <c r="J27" s="12">
        <v>13560939</v>
      </c>
    </row>
    <row r="28" spans="1:10" x14ac:dyDescent="0.25">
      <c r="D28" s="8" t="s">
        <v>646</v>
      </c>
      <c r="E28" s="18">
        <v>96</v>
      </c>
      <c r="G28" s="8" t="s">
        <v>20</v>
      </c>
      <c r="H28" s="18">
        <v>387</v>
      </c>
      <c r="I28" s="8" t="s">
        <v>634</v>
      </c>
      <c r="J28" s="12">
        <v>6230947</v>
      </c>
    </row>
    <row r="29" spans="1:10" x14ac:dyDescent="0.25">
      <c r="D29" s="8" t="s">
        <v>618</v>
      </c>
      <c r="E29" s="18">
        <v>500</v>
      </c>
      <c r="G29" s="8" t="s">
        <v>51</v>
      </c>
      <c r="H29" s="18">
        <v>510</v>
      </c>
      <c r="I29" s="8" t="s">
        <v>618</v>
      </c>
      <c r="J29" s="12">
        <v>151273322</v>
      </c>
    </row>
    <row r="30" spans="1:10" x14ac:dyDescent="0.25">
      <c r="G30" s="8" t="s">
        <v>618</v>
      </c>
      <c r="H30" s="18">
        <v>2679</v>
      </c>
    </row>
    <row r="32" spans="1:10" x14ac:dyDescent="0.25">
      <c r="B32" s="7" t="s">
        <v>617</v>
      </c>
      <c r="C32" t="s">
        <v>621</v>
      </c>
    </row>
    <row r="33" spans="2:8" x14ac:dyDescent="0.25">
      <c r="B33" s="8" t="s">
        <v>26</v>
      </c>
      <c r="C33" s="11">
        <v>20109500</v>
      </c>
      <c r="G33" s="15" t="s">
        <v>617</v>
      </c>
      <c r="H33" s="15" t="s">
        <v>647</v>
      </c>
    </row>
    <row r="34" spans="2:8" x14ac:dyDescent="0.25">
      <c r="B34" s="8" t="s">
        <v>34</v>
      </c>
      <c r="C34" s="11">
        <v>27214500</v>
      </c>
      <c r="G34" s="14" t="s">
        <v>35</v>
      </c>
      <c r="H34" s="14">
        <f t="shared" ref="H34:H39" si="4">GETPIVOTDATA("Quantity",$G$23,"Product_Category",G34)</f>
        <v>483</v>
      </c>
    </row>
    <row r="35" spans="2:8" x14ac:dyDescent="0.25">
      <c r="B35" s="8" t="s">
        <v>19</v>
      </c>
      <c r="C35" s="11">
        <v>34472200</v>
      </c>
      <c r="G35" s="14" t="s">
        <v>65</v>
      </c>
      <c r="H35" s="14">
        <f t="shared" si="4"/>
        <v>408</v>
      </c>
    </row>
    <row r="36" spans="2:8" x14ac:dyDescent="0.25">
      <c r="B36" s="8" t="s">
        <v>100</v>
      </c>
      <c r="C36" s="11">
        <v>30272300</v>
      </c>
      <c r="G36" s="14" t="s">
        <v>45</v>
      </c>
      <c r="H36" s="14">
        <f t="shared" si="4"/>
        <v>460</v>
      </c>
    </row>
    <row r="37" spans="2:8" x14ac:dyDescent="0.25">
      <c r="B37" s="8" t="s">
        <v>40</v>
      </c>
      <c r="C37" s="11">
        <v>23325500</v>
      </c>
      <c r="G37" s="14" t="s">
        <v>27</v>
      </c>
      <c r="H37" s="14">
        <f t="shared" si="4"/>
        <v>431</v>
      </c>
    </row>
    <row r="38" spans="2:8" x14ac:dyDescent="0.25">
      <c r="B38" s="8" t="s">
        <v>71</v>
      </c>
      <c r="C38" s="11">
        <v>31596900</v>
      </c>
      <c r="G38" s="14" t="s">
        <v>20</v>
      </c>
      <c r="H38" s="14">
        <f t="shared" si="4"/>
        <v>387</v>
      </c>
    </row>
    <row r="39" spans="2:8" x14ac:dyDescent="0.25">
      <c r="B39" s="8" t="s">
        <v>618</v>
      </c>
      <c r="C39" s="11">
        <v>166990900</v>
      </c>
      <c r="G39" s="14" t="s">
        <v>51</v>
      </c>
      <c r="H39" s="14">
        <f t="shared" si="4"/>
        <v>510</v>
      </c>
    </row>
    <row r="40" spans="2:8" x14ac:dyDescent="0.25">
      <c r="G40" s="14" t="s">
        <v>618</v>
      </c>
      <c r="H40" s="14">
        <f>GETPIVOTDATA("Quantity",$G$23)</f>
        <v>2679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opLeftCell="F1" zoomScaleNormal="100" workbookViewId="0">
      <pane ySplit="1" topLeftCell="A2" activePane="bottomLeft" state="frozen"/>
      <selection pane="bottomLeft" activeCell="C13" sqref="C13"/>
    </sheetView>
  </sheetViews>
  <sheetFormatPr defaultColWidth="8.7109375" defaultRowHeight="15" x14ac:dyDescent="0.25"/>
  <cols>
    <col min="1" max="1" width="12" customWidth="1"/>
    <col min="2" max="2" width="13" customWidth="1"/>
    <col min="3" max="3" width="20" customWidth="1"/>
    <col min="4" max="4" width="9" customWidth="1"/>
    <col min="5" max="5" width="6" customWidth="1"/>
    <col min="6" max="6" width="11" customWidth="1"/>
    <col min="7" max="7" width="16" customWidth="1"/>
    <col min="8" max="8" width="22" customWidth="1"/>
    <col min="9" max="9" width="10" customWidth="1"/>
    <col min="10" max="10" width="12" customWidth="1"/>
    <col min="11" max="11" width="13" customWidth="1"/>
    <col min="12" max="12" width="14" customWidth="1"/>
    <col min="13" max="13" width="22" customWidth="1"/>
    <col min="14" max="14" width="13" customWidth="1"/>
    <col min="15" max="15" width="15" customWidth="1"/>
    <col min="16" max="16" width="13" customWidth="1"/>
  </cols>
  <sheetData>
    <row r="1" spans="1:16"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3">
        <v>46100</v>
      </c>
      <c r="C2" s="2" t="s">
        <v>17</v>
      </c>
      <c r="D2" s="2" t="s">
        <v>18</v>
      </c>
      <c r="E2" s="4">
        <v>25</v>
      </c>
      <c r="F2" s="2" t="s">
        <v>19</v>
      </c>
      <c r="G2" s="2" t="s">
        <v>20</v>
      </c>
      <c r="H2" s="2" t="s">
        <v>21</v>
      </c>
      <c r="I2" s="4">
        <v>4</v>
      </c>
      <c r="J2" s="5">
        <v>1600</v>
      </c>
      <c r="K2" s="6">
        <v>0.02</v>
      </c>
      <c r="L2" s="2" t="s">
        <v>22</v>
      </c>
      <c r="M2" s="2" t="s">
        <v>23</v>
      </c>
      <c r="N2" s="5">
        <f>I2*J2</f>
        <v>6400</v>
      </c>
      <c r="O2" s="5">
        <f t="shared" ref="O2:O65" si="0">N2*K2</f>
        <v>128</v>
      </c>
      <c r="P2" s="5">
        <f t="shared" ref="P2:P65" si="1">N2-O2</f>
        <v>6272</v>
      </c>
    </row>
    <row r="3" spans="1:16" x14ac:dyDescent="0.25">
      <c r="A3" s="2" t="s">
        <v>24</v>
      </c>
      <c r="B3" s="3">
        <v>45885</v>
      </c>
      <c r="C3" s="2" t="s">
        <v>25</v>
      </c>
      <c r="D3" s="2" t="s">
        <v>18</v>
      </c>
      <c r="E3" s="4">
        <v>52</v>
      </c>
      <c r="F3" s="2" t="s">
        <v>26</v>
      </c>
      <c r="G3" s="2" t="s">
        <v>27</v>
      </c>
      <c r="H3" s="2" t="s">
        <v>28</v>
      </c>
      <c r="I3" s="4">
        <v>3</v>
      </c>
      <c r="J3" s="5">
        <v>48000</v>
      </c>
      <c r="K3" s="6">
        <v>0.1</v>
      </c>
      <c r="L3" s="2" t="s">
        <v>29</v>
      </c>
      <c r="M3" s="2" t="s">
        <v>30</v>
      </c>
      <c r="N3" s="5">
        <f t="shared" ref="N3:N65" si="2">I3*J3</f>
        <v>144000</v>
      </c>
      <c r="O3" s="5">
        <f t="shared" si="0"/>
        <v>14400</v>
      </c>
      <c r="P3" s="5">
        <f t="shared" si="1"/>
        <v>129600</v>
      </c>
    </row>
    <row r="4" spans="1:16" x14ac:dyDescent="0.25">
      <c r="A4" s="2" t="s">
        <v>31</v>
      </c>
      <c r="B4" s="3">
        <v>46066</v>
      </c>
      <c r="C4" s="2" t="s">
        <v>32</v>
      </c>
      <c r="D4" s="2" t="s">
        <v>33</v>
      </c>
      <c r="E4" s="4">
        <v>52</v>
      </c>
      <c r="F4" s="2" t="s">
        <v>34</v>
      </c>
      <c r="G4" s="2" t="s">
        <v>35</v>
      </c>
      <c r="H4" s="2" t="s">
        <v>36</v>
      </c>
      <c r="I4" s="4">
        <v>5</v>
      </c>
      <c r="J4" s="5">
        <v>4500</v>
      </c>
      <c r="K4" s="6">
        <v>0.15</v>
      </c>
      <c r="L4" s="2" t="s">
        <v>29</v>
      </c>
      <c r="M4" s="2" t="s">
        <v>37</v>
      </c>
      <c r="N4" s="5">
        <f t="shared" si="2"/>
        <v>22500</v>
      </c>
      <c r="O4" s="5">
        <f t="shared" si="0"/>
        <v>3375</v>
      </c>
      <c r="P4" s="5">
        <f t="shared" si="1"/>
        <v>19125</v>
      </c>
    </row>
    <row r="5" spans="1:16" x14ac:dyDescent="0.25">
      <c r="A5" s="2" t="s">
        <v>38</v>
      </c>
      <c r="B5" s="3">
        <v>46074</v>
      </c>
      <c r="C5" s="2" t="s">
        <v>39</v>
      </c>
      <c r="D5" s="2" t="s">
        <v>33</v>
      </c>
      <c r="E5" s="4">
        <v>46</v>
      </c>
      <c r="F5" s="2" t="s">
        <v>40</v>
      </c>
      <c r="G5" s="2" t="s">
        <v>27</v>
      </c>
      <c r="H5" s="2" t="s">
        <v>41</v>
      </c>
      <c r="I5" s="4">
        <v>6</v>
      </c>
      <c r="J5" s="5">
        <v>98400</v>
      </c>
      <c r="K5" s="6">
        <v>0</v>
      </c>
      <c r="L5" s="2" t="s">
        <v>29</v>
      </c>
      <c r="M5" s="2" t="s">
        <v>42</v>
      </c>
      <c r="N5" s="5">
        <f t="shared" si="2"/>
        <v>590400</v>
      </c>
      <c r="O5" s="5">
        <f t="shared" si="0"/>
        <v>0</v>
      </c>
      <c r="P5" s="5">
        <f t="shared" si="1"/>
        <v>590400</v>
      </c>
    </row>
    <row r="6" spans="1:16" x14ac:dyDescent="0.25">
      <c r="A6" s="2" t="s">
        <v>43</v>
      </c>
      <c r="B6" s="3">
        <v>45967</v>
      </c>
      <c r="C6" s="2" t="s">
        <v>44</v>
      </c>
      <c r="D6" s="2" t="s">
        <v>18</v>
      </c>
      <c r="E6" s="4">
        <v>32</v>
      </c>
      <c r="F6" s="2" t="s">
        <v>40</v>
      </c>
      <c r="G6" s="2" t="s">
        <v>45</v>
      </c>
      <c r="H6" s="2" t="s">
        <v>46</v>
      </c>
      <c r="I6" s="4">
        <v>2</v>
      </c>
      <c r="J6" s="5">
        <v>175000</v>
      </c>
      <c r="K6" s="6">
        <v>0</v>
      </c>
      <c r="L6" s="2" t="s">
        <v>47</v>
      </c>
      <c r="M6" s="2" t="s">
        <v>48</v>
      </c>
      <c r="N6" s="5">
        <f t="shared" si="2"/>
        <v>350000</v>
      </c>
      <c r="O6" s="5">
        <f t="shared" si="0"/>
        <v>0</v>
      </c>
      <c r="P6" s="5">
        <f t="shared" si="1"/>
        <v>350000</v>
      </c>
    </row>
    <row r="7" spans="1:16" x14ac:dyDescent="0.25">
      <c r="A7" s="2" t="s">
        <v>49</v>
      </c>
      <c r="B7" s="3">
        <v>46113</v>
      </c>
      <c r="C7" s="2" t="s">
        <v>50</v>
      </c>
      <c r="D7" s="2" t="s">
        <v>33</v>
      </c>
      <c r="E7" s="4">
        <v>35</v>
      </c>
      <c r="F7" s="2" t="s">
        <v>34</v>
      </c>
      <c r="G7" s="2" t="s">
        <v>51</v>
      </c>
      <c r="H7" s="2" t="s">
        <v>52</v>
      </c>
      <c r="I7" s="4">
        <v>3</v>
      </c>
      <c r="J7" s="5">
        <v>231400</v>
      </c>
      <c r="K7" s="6">
        <v>0.18</v>
      </c>
      <c r="L7" s="2" t="s">
        <v>22</v>
      </c>
      <c r="M7" s="2" t="s">
        <v>23</v>
      </c>
      <c r="N7" s="5">
        <f t="shared" si="2"/>
        <v>694200</v>
      </c>
      <c r="O7" s="5">
        <f t="shared" si="0"/>
        <v>124956</v>
      </c>
      <c r="P7" s="5">
        <f t="shared" si="1"/>
        <v>569244</v>
      </c>
    </row>
    <row r="8" spans="1:16" x14ac:dyDescent="0.25">
      <c r="A8" s="2" t="s">
        <v>53</v>
      </c>
      <c r="B8" s="3">
        <v>46058</v>
      </c>
      <c r="C8" s="2" t="s">
        <v>54</v>
      </c>
      <c r="D8" s="2" t="s">
        <v>33</v>
      </c>
      <c r="E8" s="4">
        <v>24</v>
      </c>
      <c r="F8" s="2" t="s">
        <v>40</v>
      </c>
      <c r="G8" s="2" t="s">
        <v>35</v>
      </c>
      <c r="H8" s="2" t="s">
        <v>55</v>
      </c>
      <c r="I8" s="4">
        <v>7</v>
      </c>
      <c r="J8" s="5">
        <v>5000</v>
      </c>
      <c r="K8" s="6">
        <v>0.15</v>
      </c>
      <c r="L8" s="2" t="s">
        <v>47</v>
      </c>
      <c r="M8" s="2" t="s">
        <v>56</v>
      </c>
      <c r="N8" s="5">
        <f t="shared" si="2"/>
        <v>35000</v>
      </c>
      <c r="O8" s="5">
        <f t="shared" si="0"/>
        <v>5250</v>
      </c>
      <c r="P8" s="5">
        <f t="shared" si="1"/>
        <v>29750</v>
      </c>
    </row>
    <row r="9" spans="1:16" x14ac:dyDescent="0.25">
      <c r="A9" s="2" t="s">
        <v>57</v>
      </c>
      <c r="B9" s="3">
        <v>46194</v>
      </c>
      <c r="C9" s="2" t="s">
        <v>58</v>
      </c>
      <c r="D9" s="2" t="s">
        <v>18</v>
      </c>
      <c r="E9" s="4">
        <v>59</v>
      </c>
      <c r="F9" s="2" t="s">
        <v>40</v>
      </c>
      <c r="G9" s="2" t="s">
        <v>45</v>
      </c>
      <c r="H9" s="2" t="s">
        <v>59</v>
      </c>
      <c r="I9" s="4">
        <v>6</v>
      </c>
      <c r="J9" s="5">
        <v>18000</v>
      </c>
      <c r="K9" s="6">
        <v>0.02</v>
      </c>
      <c r="L9" s="2" t="s">
        <v>22</v>
      </c>
      <c r="M9" s="2" t="s">
        <v>60</v>
      </c>
      <c r="N9" s="5">
        <f t="shared" si="2"/>
        <v>108000</v>
      </c>
      <c r="O9" s="5">
        <f t="shared" si="0"/>
        <v>2160</v>
      </c>
      <c r="P9" s="5">
        <f t="shared" si="1"/>
        <v>105840</v>
      </c>
    </row>
    <row r="10" spans="1:16" x14ac:dyDescent="0.25">
      <c r="A10" s="2" t="s">
        <v>61</v>
      </c>
      <c r="B10" s="3">
        <v>45947</v>
      </c>
      <c r="C10" s="2" t="s">
        <v>62</v>
      </c>
      <c r="D10" s="2" t="s">
        <v>18</v>
      </c>
      <c r="E10" s="4">
        <v>46</v>
      </c>
      <c r="F10" s="2" t="s">
        <v>26</v>
      </c>
      <c r="G10" s="2" t="s">
        <v>51</v>
      </c>
      <c r="H10" s="2" t="s">
        <v>52</v>
      </c>
      <c r="I10" s="4">
        <v>8</v>
      </c>
      <c r="J10" s="5">
        <v>163000</v>
      </c>
      <c r="K10" s="6">
        <v>7.0000000000000007E-2</v>
      </c>
      <c r="L10" s="2" t="s">
        <v>22</v>
      </c>
      <c r="M10" s="2" t="s">
        <v>23</v>
      </c>
      <c r="N10" s="5">
        <f t="shared" si="2"/>
        <v>1304000</v>
      </c>
      <c r="O10" s="5">
        <f t="shared" si="0"/>
        <v>91280.000000000015</v>
      </c>
      <c r="P10" s="5">
        <f t="shared" si="1"/>
        <v>1212720</v>
      </c>
    </row>
    <row r="11" spans="1:16" x14ac:dyDescent="0.25">
      <c r="A11" s="2" t="s">
        <v>63</v>
      </c>
      <c r="B11" s="3">
        <v>46131</v>
      </c>
      <c r="C11" s="2" t="s">
        <v>64</v>
      </c>
      <c r="D11" s="2" t="s">
        <v>33</v>
      </c>
      <c r="E11" s="4">
        <v>21</v>
      </c>
      <c r="F11" s="2" t="s">
        <v>34</v>
      </c>
      <c r="G11" s="2" t="s">
        <v>65</v>
      </c>
      <c r="H11" s="2" t="s">
        <v>66</v>
      </c>
      <c r="I11" s="4">
        <v>4</v>
      </c>
      <c r="J11" s="5">
        <v>2900</v>
      </c>
      <c r="K11" s="6">
        <v>0.05</v>
      </c>
      <c r="L11" s="2" t="s">
        <v>47</v>
      </c>
      <c r="M11" s="2" t="s">
        <v>23</v>
      </c>
      <c r="N11" s="5">
        <f t="shared" si="2"/>
        <v>11600</v>
      </c>
      <c r="O11" s="5">
        <f t="shared" si="0"/>
        <v>580</v>
      </c>
      <c r="P11" s="5">
        <f t="shared" si="1"/>
        <v>11020</v>
      </c>
    </row>
    <row r="12" spans="1:16" x14ac:dyDescent="0.25">
      <c r="A12" s="2" t="s">
        <v>67</v>
      </c>
      <c r="B12" s="3">
        <v>46096</v>
      </c>
      <c r="C12" s="2" t="s">
        <v>32</v>
      </c>
      <c r="D12" s="2" t="s">
        <v>33</v>
      </c>
      <c r="E12" s="4">
        <v>43</v>
      </c>
      <c r="F12" s="2" t="s">
        <v>40</v>
      </c>
      <c r="G12" s="2" t="s">
        <v>27</v>
      </c>
      <c r="H12" s="2" t="s">
        <v>28</v>
      </c>
      <c r="I12" s="4">
        <v>7</v>
      </c>
      <c r="J12" s="5">
        <v>30100</v>
      </c>
      <c r="K12" s="6">
        <v>0.1</v>
      </c>
      <c r="L12" s="2" t="s">
        <v>47</v>
      </c>
      <c r="M12" s="2" t="s">
        <v>68</v>
      </c>
      <c r="N12" s="5">
        <f t="shared" si="2"/>
        <v>210700</v>
      </c>
      <c r="O12" s="5">
        <f t="shared" si="0"/>
        <v>21070</v>
      </c>
      <c r="P12" s="5">
        <f t="shared" si="1"/>
        <v>189630</v>
      </c>
    </row>
    <row r="13" spans="1:16" x14ac:dyDescent="0.25">
      <c r="A13" s="2" t="s">
        <v>69</v>
      </c>
      <c r="B13" s="3">
        <v>46066</v>
      </c>
      <c r="C13" s="2" t="s">
        <v>70</v>
      </c>
      <c r="D13" s="2" t="s">
        <v>18</v>
      </c>
      <c r="E13" s="4">
        <v>64</v>
      </c>
      <c r="F13" s="2" t="s">
        <v>71</v>
      </c>
      <c r="G13" s="2" t="s">
        <v>35</v>
      </c>
      <c r="H13" s="2" t="s">
        <v>55</v>
      </c>
      <c r="I13" s="4">
        <v>4</v>
      </c>
      <c r="J13" s="5">
        <v>4100</v>
      </c>
      <c r="K13" s="6">
        <v>0.1</v>
      </c>
      <c r="L13" s="2" t="s">
        <v>22</v>
      </c>
      <c r="M13" s="2" t="s">
        <v>56</v>
      </c>
      <c r="N13" s="5">
        <f t="shared" si="2"/>
        <v>16400</v>
      </c>
      <c r="O13" s="5">
        <f t="shared" si="0"/>
        <v>1640</v>
      </c>
      <c r="P13" s="5">
        <f t="shared" si="1"/>
        <v>14760</v>
      </c>
    </row>
    <row r="14" spans="1:16" x14ac:dyDescent="0.25">
      <c r="A14" s="2" t="s">
        <v>72</v>
      </c>
      <c r="B14" s="3">
        <v>46146</v>
      </c>
      <c r="C14" s="2" t="s">
        <v>73</v>
      </c>
      <c r="D14" s="2" t="s">
        <v>18</v>
      </c>
      <c r="E14" s="4">
        <v>52</v>
      </c>
      <c r="F14" s="2" t="s">
        <v>40</v>
      </c>
      <c r="G14" s="2" t="s">
        <v>35</v>
      </c>
      <c r="H14" s="2" t="s">
        <v>74</v>
      </c>
      <c r="I14" s="4">
        <v>1</v>
      </c>
      <c r="J14" s="5">
        <v>2200</v>
      </c>
      <c r="K14" s="6">
        <v>0.18</v>
      </c>
      <c r="L14" s="2" t="s">
        <v>29</v>
      </c>
      <c r="M14" s="2" t="s">
        <v>42</v>
      </c>
      <c r="N14" s="5">
        <f t="shared" si="2"/>
        <v>2200</v>
      </c>
      <c r="O14" s="5">
        <f t="shared" si="0"/>
        <v>396</v>
      </c>
      <c r="P14" s="5">
        <f t="shared" si="1"/>
        <v>1804</v>
      </c>
    </row>
    <row r="15" spans="1:16" x14ac:dyDescent="0.25">
      <c r="A15" s="2" t="s">
        <v>75</v>
      </c>
      <c r="B15" s="3">
        <v>45930</v>
      </c>
      <c r="C15" s="2" t="s">
        <v>76</v>
      </c>
      <c r="D15" s="2" t="s">
        <v>33</v>
      </c>
      <c r="E15" s="4">
        <v>50</v>
      </c>
      <c r="F15" s="2" t="s">
        <v>40</v>
      </c>
      <c r="G15" s="2" t="s">
        <v>27</v>
      </c>
      <c r="H15" s="2" t="s">
        <v>77</v>
      </c>
      <c r="I15" s="4">
        <v>2</v>
      </c>
      <c r="J15" s="5">
        <v>44500</v>
      </c>
      <c r="K15" s="6">
        <v>7.0000000000000007E-2</v>
      </c>
      <c r="L15" s="2" t="s">
        <v>47</v>
      </c>
      <c r="M15" s="2" t="s">
        <v>48</v>
      </c>
      <c r="N15" s="5">
        <f t="shared" si="2"/>
        <v>89000</v>
      </c>
      <c r="O15" s="5">
        <f t="shared" si="0"/>
        <v>6230.0000000000009</v>
      </c>
      <c r="P15" s="5">
        <f t="shared" si="1"/>
        <v>82770</v>
      </c>
    </row>
    <row r="16" spans="1:16" x14ac:dyDescent="0.25">
      <c r="A16" s="2" t="s">
        <v>78</v>
      </c>
      <c r="B16" s="3">
        <v>46141</v>
      </c>
      <c r="C16" s="2" t="s">
        <v>50</v>
      </c>
      <c r="D16" s="2" t="s">
        <v>33</v>
      </c>
      <c r="E16" s="4">
        <v>55</v>
      </c>
      <c r="F16" s="2" t="s">
        <v>71</v>
      </c>
      <c r="G16" s="2" t="s">
        <v>45</v>
      </c>
      <c r="H16" s="2" t="s">
        <v>46</v>
      </c>
      <c r="I16" s="4">
        <v>10</v>
      </c>
      <c r="J16" s="5">
        <v>199900</v>
      </c>
      <c r="K16" s="6">
        <v>0.2</v>
      </c>
      <c r="L16" s="2" t="s">
        <v>47</v>
      </c>
      <c r="M16" s="2" t="s">
        <v>68</v>
      </c>
      <c r="N16" s="5">
        <f t="shared" si="2"/>
        <v>1999000</v>
      </c>
      <c r="O16" s="5">
        <f t="shared" si="0"/>
        <v>399800</v>
      </c>
      <c r="P16" s="5">
        <f t="shared" si="1"/>
        <v>1599200</v>
      </c>
    </row>
    <row r="17" spans="1:16" x14ac:dyDescent="0.25">
      <c r="A17" s="2" t="s">
        <v>79</v>
      </c>
      <c r="B17" s="3">
        <v>45954</v>
      </c>
      <c r="C17" s="2" t="s">
        <v>80</v>
      </c>
      <c r="D17" s="2" t="s">
        <v>18</v>
      </c>
      <c r="E17" s="4">
        <v>63</v>
      </c>
      <c r="F17" s="2" t="s">
        <v>19</v>
      </c>
      <c r="G17" s="2" t="s">
        <v>27</v>
      </c>
      <c r="H17" s="2" t="s">
        <v>81</v>
      </c>
      <c r="I17" s="4">
        <v>3</v>
      </c>
      <c r="J17" s="5">
        <v>121900</v>
      </c>
      <c r="K17" s="6">
        <v>0.1</v>
      </c>
      <c r="L17" s="2" t="s">
        <v>47</v>
      </c>
      <c r="M17" s="2" t="s">
        <v>37</v>
      </c>
      <c r="N17" s="5">
        <f t="shared" si="2"/>
        <v>365700</v>
      </c>
      <c r="O17" s="5">
        <f t="shared" si="0"/>
        <v>36570</v>
      </c>
      <c r="P17" s="5">
        <f t="shared" si="1"/>
        <v>329130</v>
      </c>
    </row>
    <row r="18" spans="1:16" x14ac:dyDescent="0.25">
      <c r="A18" s="2" t="s">
        <v>82</v>
      </c>
      <c r="B18" s="3">
        <v>45887</v>
      </c>
      <c r="C18" s="2" t="s">
        <v>83</v>
      </c>
      <c r="D18" s="2" t="s">
        <v>33</v>
      </c>
      <c r="E18" s="4">
        <v>47</v>
      </c>
      <c r="F18" s="2" t="s">
        <v>71</v>
      </c>
      <c r="G18" s="2" t="s">
        <v>65</v>
      </c>
      <c r="H18" s="2" t="s">
        <v>66</v>
      </c>
      <c r="I18" s="4">
        <v>9</v>
      </c>
      <c r="J18" s="5">
        <v>2800</v>
      </c>
      <c r="K18" s="6">
        <v>7.0000000000000007E-2</v>
      </c>
      <c r="L18" s="2" t="s">
        <v>29</v>
      </c>
      <c r="M18" s="2" t="s">
        <v>68</v>
      </c>
      <c r="N18" s="5">
        <f t="shared" si="2"/>
        <v>25200</v>
      </c>
      <c r="O18" s="5">
        <f t="shared" si="0"/>
        <v>1764.0000000000002</v>
      </c>
      <c r="P18" s="5">
        <f t="shared" si="1"/>
        <v>23436</v>
      </c>
    </row>
    <row r="19" spans="1:16" x14ac:dyDescent="0.25">
      <c r="A19" s="2" t="s">
        <v>84</v>
      </c>
      <c r="B19" s="3">
        <v>45917</v>
      </c>
      <c r="C19" s="2" t="s">
        <v>85</v>
      </c>
      <c r="D19" s="2" t="s">
        <v>18</v>
      </c>
      <c r="E19" s="4">
        <v>22</v>
      </c>
      <c r="F19" s="2" t="s">
        <v>26</v>
      </c>
      <c r="G19" s="2" t="s">
        <v>20</v>
      </c>
      <c r="H19" s="2" t="s">
        <v>86</v>
      </c>
      <c r="I19" s="4">
        <v>8</v>
      </c>
      <c r="J19" s="5">
        <v>9300</v>
      </c>
      <c r="K19" s="6">
        <v>0.2</v>
      </c>
      <c r="L19" s="2" t="s">
        <v>29</v>
      </c>
      <c r="M19" s="2" t="s">
        <v>68</v>
      </c>
      <c r="N19" s="5">
        <f t="shared" si="2"/>
        <v>74400</v>
      </c>
      <c r="O19" s="5">
        <f t="shared" si="0"/>
        <v>14880</v>
      </c>
      <c r="P19" s="5">
        <f t="shared" si="1"/>
        <v>59520</v>
      </c>
    </row>
    <row r="20" spans="1:16" x14ac:dyDescent="0.25">
      <c r="A20" s="2" t="s">
        <v>87</v>
      </c>
      <c r="B20" s="3">
        <v>46163</v>
      </c>
      <c r="C20" s="2" t="s">
        <v>58</v>
      </c>
      <c r="D20" s="2" t="s">
        <v>18</v>
      </c>
      <c r="E20" s="4">
        <v>51</v>
      </c>
      <c r="F20" s="2" t="s">
        <v>40</v>
      </c>
      <c r="G20" s="2" t="s">
        <v>35</v>
      </c>
      <c r="H20" s="2" t="s">
        <v>74</v>
      </c>
      <c r="I20" s="4">
        <v>3</v>
      </c>
      <c r="J20" s="5">
        <v>2400</v>
      </c>
      <c r="K20" s="6">
        <v>0.1</v>
      </c>
      <c r="L20" s="2" t="s">
        <v>22</v>
      </c>
      <c r="M20" s="2" t="s">
        <v>48</v>
      </c>
      <c r="N20" s="5">
        <f t="shared" si="2"/>
        <v>7200</v>
      </c>
      <c r="O20" s="5">
        <f t="shared" si="0"/>
        <v>720</v>
      </c>
      <c r="P20" s="5">
        <f t="shared" si="1"/>
        <v>6480</v>
      </c>
    </row>
    <row r="21" spans="1:16" x14ac:dyDescent="0.25">
      <c r="A21" s="2" t="s">
        <v>88</v>
      </c>
      <c r="B21" s="3">
        <v>46133</v>
      </c>
      <c r="C21" s="2" t="s">
        <v>89</v>
      </c>
      <c r="D21" s="2" t="s">
        <v>33</v>
      </c>
      <c r="E21" s="4">
        <v>35</v>
      </c>
      <c r="F21" s="2" t="s">
        <v>19</v>
      </c>
      <c r="G21" s="2" t="s">
        <v>65</v>
      </c>
      <c r="H21" s="2" t="s">
        <v>90</v>
      </c>
      <c r="I21" s="4">
        <v>4</v>
      </c>
      <c r="J21" s="5">
        <v>19200</v>
      </c>
      <c r="K21" s="6">
        <v>0.1</v>
      </c>
      <c r="L21" s="2" t="s">
        <v>29</v>
      </c>
      <c r="M21" s="2" t="s">
        <v>23</v>
      </c>
      <c r="N21" s="5">
        <f t="shared" si="2"/>
        <v>76800</v>
      </c>
      <c r="O21" s="5">
        <f t="shared" si="0"/>
        <v>7680</v>
      </c>
      <c r="P21" s="5">
        <f t="shared" si="1"/>
        <v>69120</v>
      </c>
    </row>
    <row r="22" spans="1:16" x14ac:dyDescent="0.25">
      <c r="A22" s="2" t="s">
        <v>91</v>
      </c>
      <c r="B22" s="3">
        <v>45978</v>
      </c>
      <c r="C22" s="2" t="s">
        <v>76</v>
      </c>
      <c r="D22" s="2" t="s">
        <v>33</v>
      </c>
      <c r="E22" s="4">
        <v>23</v>
      </c>
      <c r="F22" s="2" t="s">
        <v>34</v>
      </c>
      <c r="G22" s="2" t="s">
        <v>51</v>
      </c>
      <c r="H22" s="2" t="s">
        <v>92</v>
      </c>
      <c r="I22" s="4">
        <v>1</v>
      </c>
      <c r="J22" s="5">
        <v>15700</v>
      </c>
      <c r="K22" s="6">
        <v>0.12</v>
      </c>
      <c r="L22" s="2" t="s">
        <v>22</v>
      </c>
      <c r="M22" s="2" t="s">
        <v>68</v>
      </c>
      <c r="N22" s="5">
        <f t="shared" si="2"/>
        <v>15700</v>
      </c>
      <c r="O22" s="5">
        <f t="shared" si="0"/>
        <v>1884</v>
      </c>
      <c r="P22" s="5">
        <f t="shared" si="1"/>
        <v>13816</v>
      </c>
    </row>
    <row r="23" spans="1:16" x14ac:dyDescent="0.25">
      <c r="A23" s="2" t="s">
        <v>93</v>
      </c>
      <c r="B23" s="3">
        <v>45932</v>
      </c>
      <c r="C23" s="2" t="s">
        <v>73</v>
      </c>
      <c r="D23" s="2" t="s">
        <v>18</v>
      </c>
      <c r="E23" s="4">
        <v>46</v>
      </c>
      <c r="F23" s="2" t="s">
        <v>71</v>
      </c>
      <c r="G23" s="2" t="s">
        <v>35</v>
      </c>
      <c r="H23" s="2" t="s">
        <v>55</v>
      </c>
      <c r="I23" s="4">
        <v>1</v>
      </c>
      <c r="J23" s="5">
        <v>5800</v>
      </c>
      <c r="K23" s="6">
        <v>0.02</v>
      </c>
      <c r="L23" s="2" t="s">
        <v>22</v>
      </c>
      <c r="M23" s="2" t="s">
        <v>94</v>
      </c>
      <c r="N23" s="5">
        <f t="shared" si="2"/>
        <v>5800</v>
      </c>
      <c r="O23" s="5">
        <f t="shared" si="0"/>
        <v>116</v>
      </c>
      <c r="P23" s="5">
        <f t="shared" si="1"/>
        <v>5684</v>
      </c>
    </row>
    <row r="24" spans="1:16" x14ac:dyDescent="0.25">
      <c r="A24" s="2" t="s">
        <v>95</v>
      </c>
      <c r="B24" s="3">
        <v>46129</v>
      </c>
      <c r="C24" s="2" t="s">
        <v>96</v>
      </c>
      <c r="D24" s="2" t="s">
        <v>18</v>
      </c>
      <c r="E24" s="4">
        <v>41</v>
      </c>
      <c r="F24" s="2" t="s">
        <v>71</v>
      </c>
      <c r="G24" s="2" t="s">
        <v>65</v>
      </c>
      <c r="H24" s="2" t="s">
        <v>90</v>
      </c>
      <c r="I24" s="4">
        <v>3</v>
      </c>
      <c r="J24" s="5">
        <v>22100</v>
      </c>
      <c r="K24" s="6">
        <v>0</v>
      </c>
      <c r="L24" s="2" t="s">
        <v>47</v>
      </c>
      <c r="M24" s="2" t="s">
        <v>37</v>
      </c>
      <c r="N24" s="5">
        <f t="shared" si="2"/>
        <v>66300</v>
      </c>
      <c r="O24" s="5">
        <f t="shared" si="0"/>
        <v>0</v>
      </c>
      <c r="P24" s="5">
        <f t="shared" si="1"/>
        <v>66300</v>
      </c>
    </row>
    <row r="25" spans="1:16" x14ac:dyDescent="0.25">
      <c r="A25" s="2" t="s">
        <v>97</v>
      </c>
      <c r="B25" s="3">
        <v>45870</v>
      </c>
      <c r="C25" s="2" t="s">
        <v>85</v>
      </c>
      <c r="D25" s="2" t="s">
        <v>18</v>
      </c>
      <c r="E25" s="4">
        <v>31</v>
      </c>
      <c r="F25" s="2" t="s">
        <v>34</v>
      </c>
      <c r="G25" s="2" t="s">
        <v>27</v>
      </c>
      <c r="H25" s="2" t="s">
        <v>77</v>
      </c>
      <c r="I25" s="4">
        <v>9</v>
      </c>
      <c r="J25" s="5">
        <v>36600</v>
      </c>
      <c r="K25" s="6">
        <v>0.15</v>
      </c>
      <c r="L25" s="2" t="s">
        <v>29</v>
      </c>
      <c r="M25" s="2" t="s">
        <v>94</v>
      </c>
      <c r="N25" s="5">
        <f t="shared" si="2"/>
        <v>329400</v>
      </c>
      <c r="O25" s="5">
        <f t="shared" si="0"/>
        <v>49410</v>
      </c>
      <c r="P25" s="5">
        <f t="shared" si="1"/>
        <v>279990</v>
      </c>
    </row>
    <row r="26" spans="1:16" x14ac:dyDescent="0.25">
      <c r="A26" s="2" t="s">
        <v>98</v>
      </c>
      <c r="B26" s="3">
        <v>45971</v>
      </c>
      <c r="C26" s="2" t="s">
        <v>99</v>
      </c>
      <c r="D26" s="2" t="s">
        <v>18</v>
      </c>
      <c r="E26" s="4">
        <v>29</v>
      </c>
      <c r="F26" s="2" t="s">
        <v>100</v>
      </c>
      <c r="G26" s="2" t="s">
        <v>45</v>
      </c>
      <c r="H26" s="2" t="s">
        <v>101</v>
      </c>
      <c r="I26" s="4">
        <v>7</v>
      </c>
      <c r="J26" s="5">
        <v>18900</v>
      </c>
      <c r="K26" s="6">
        <v>7.0000000000000007E-2</v>
      </c>
      <c r="L26" s="2" t="s">
        <v>47</v>
      </c>
      <c r="M26" s="2" t="s">
        <v>94</v>
      </c>
      <c r="N26" s="5">
        <f t="shared" si="2"/>
        <v>132300</v>
      </c>
      <c r="O26" s="5">
        <f t="shared" si="0"/>
        <v>9261</v>
      </c>
      <c r="P26" s="5">
        <f t="shared" si="1"/>
        <v>123039</v>
      </c>
    </row>
    <row r="27" spans="1:16" x14ac:dyDescent="0.25">
      <c r="A27" s="2" t="s">
        <v>102</v>
      </c>
      <c r="B27" s="3">
        <v>46209</v>
      </c>
      <c r="C27" s="2" t="s">
        <v>64</v>
      </c>
      <c r="D27" s="2" t="s">
        <v>33</v>
      </c>
      <c r="E27" s="4">
        <v>42</v>
      </c>
      <c r="F27" s="2" t="s">
        <v>40</v>
      </c>
      <c r="G27" s="2" t="s">
        <v>51</v>
      </c>
      <c r="H27" s="2" t="s">
        <v>52</v>
      </c>
      <c r="I27" s="4">
        <v>8</v>
      </c>
      <c r="J27" s="5">
        <v>142300</v>
      </c>
      <c r="K27" s="6">
        <v>0.12</v>
      </c>
      <c r="L27" s="2" t="s">
        <v>47</v>
      </c>
      <c r="M27" s="2" t="s">
        <v>60</v>
      </c>
      <c r="N27" s="5">
        <f t="shared" si="2"/>
        <v>1138400</v>
      </c>
      <c r="O27" s="5">
        <f t="shared" si="0"/>
        <v>136608</v>
      </c>
      <c r="P27" s="5">
        <f t="shared" si="1"/>
        <v>1001792</v>
      </c>
    </row>
    <row r="28" spans="1:16" x14ac:dyDescent="0.25">
      <c r="A28" s="2" t="s">
        <v>103</v>
      </c>
      <c r="B28" s="3">
        <v>45964</v>
      </c>
      <c r="C28" s="2" t="s">
        <v>17</v>
      </c>
      <c r="D28" s="2" t="s">
        <v>18</v>
      </c>
      <c r="E28" s="4">
        <v>60</v>
      </c>
      <c r="F28" s="2" t="s">
        <v>26</v>
      </c>
      <c r="G28" s="2" t="s">
        <v>51</v>
      </c>
      <c r="H28" s="2" t="s">
        <v>92</v>
      </c>
      <c r="I28" s="4">
        <v>2</v>
      </c>
      <c r="J28" s="5">
        <v>19600</v>
      </c>
      <c r="K28" s="6">
        <v>0.1</v>
      </c>
      <c r="L28" s="2" t="s">
        <v>47</v>
      </c>
      <c r="M28" s="2" t="s">
        <v>42</v>
      </c>
      <c r="N28" s="5">
        <f t="shared" si="2"/>
        <v>39200</v>
      </c>
      <c r="O28" s="5">
        <f t="shared" si="0"/>
        <v>3920</v>
      </c>
      <c r="P28" s="5">
        <f t="shared" si="1"/>
        <v>35280</v>
      </c>
    </row>
    <row r="29" spans="1:16" x14ac:dyDescent="0.25">
      <c r="A29" s="2" t="s">
        <v>104</v>
      </c>
      <c r="B29" s="3">
        <v>46054</v>
      </c>
      <c r="C29" s="2" t="s">
        <v>105</v>
      </c>
      <c r="D29" s="2" t="s">
        <v>33</v>
      </c>
      <c r="E29" s="4">
        <v>52</v>
      </c>
      <c r="F29" s="2" t="s">
        <v>19</v>
      </c>
      <c r="G29" s="2" t="s">
        <v>45</v>
      </c>
      <c r="H29" s="2" t="s">
        <v>46</v>
      </c>
      <c r="I29" s="4">
        <v>3</v>
      </c>
      <c r="J29" s="5">
        <v>179200</v>
      </c>
      <c r="K29" s="6">
        <v>0.1</v>
      </c>
      <c r="L29" s="2" t="s">
        <v>22</v>
      </c>
      <c r="M29" s="2" t="s">
        <v>48</v>
      </c>
      <c r="N29" s="5">
        <f t="shared" si="2"/>
        <v>537600</v>
      </c>
      <c r="O29" s="5">
        <f t="shared" si="0"/>
        <v>53760</v>
      </c>
      <c r="P29" s="5">
        <f t="shared" si="1"/>
        <v>483840</v>
      </c>
    </row>
    <row r="30" spans="1:16" x14ac:dyDescent="0.25">
      <c r="A30" s="2" t="s">
        <v>106</v>
      </c>
      <c r="B30" s="3">
        <v>46155</v>
      </c>
      <c r="C30" s="2" t="s">
        <v>107</v>
      </c>
      <c r="D30" s="2" t="s">
        <v>33</v>
      </c>
      <c r="E30" s="4">
        <v>40</v>
      </c>
      <c r="F30" s="2" t="s">
        <v>34</v>
      </c>
      <c r="G30" s="2" t="s">
        <v>20</v>
      </c>
      <c r="H30" s="2" t="s">
        <v>108</v>
      </c>
      <c r="I30" s="4">
        <v>9</v>
      </c>
      <c r="J30" s="5">
        <v>54900</v>
      </c>
      <c r="K30" s="6">
        <v>0.02</v>
      </c>
      <c r="L30" s="2" t="s">
        <v>47</v>
      </c>
      <c r="M30" s="2" t="s">
        <v>30</v>
      </c>
      <c r="N30" s="5">
        <f t="shared" si="2"/>
        <v>494100</v>
      </c>
      <c r="O30" s="5">
        <f t="shared" si="0"/>
        <v>9882</v>
      </c>
      <c r="P30" s="5">
        <f t="shared" si="1"/>
        <v>484218</v>
      </c>
    </row>
    <row r="31" spans="1:16" x14ac:dyDescent="0.25">
      <c r="A31" s="2" t="s">
        <v>109</v>
      </c>
      <c r="B31" s="3">
        <v>45947</v>
      </c>
      <c r="C31" s="2" t="s">
        <v>110</v>
      </c>
      <c r="D31" s="2" t="s">
        <v>18</v>
      </c>
      <c r="E31" s="4">
        <v>20</v>
      </c>
      <c r="F31" s="2" t="s">
        <v>34</v>
      </c>
      <c r="G31" s="2" t="s">
        <v>51</v>
      </c>
      <c r="H31" s="2" t="s">
        <v>111</v>
      </c>
      <c r="I31" s="4">
        <v>9</v>
      </c>
      <c r="J31" s="5">
        <v>386300</v>
      </c>
      <c r="K31" s="6">
        <v>7.0000000000000007E-2</v>
      </c>
      <c r="L31" s="2" t="s">
        <v>47</v>
      </c>
      <c r="M31" s="2" t="s">
        <v>112</v>
      </c>
      <c r="N31" s="5">
        <f t="shared" si="2"/>
        <v>3476700</v>
      </c>
      <c r="O31" s="5">
        <f t="shared" si="0"/>
        <v>243369.00000000003</v>
      </c>
      <c r="P31" s="5">
        <f t="shared" si="1"/>
        <v>3233331</v>
      </c>
    </row>
    <row r="32" spans="1:16" x14ac:dyDescent="0.25">
      <c r="A32" s="2" t="s">
        <v>113</v>
      </c>
      <c r="B32" s="3">
        <v>45885</v>
      </c>
      <c r="C32" s="2" t="s">
        <v>80</v>
      </c>
      <c r="D32" s="2" t="s">
        <v>18</v>
      </c>
      <c r="E32" s="4">
        <v>39</v>
      </c>
      <c r="F32" s="2" t="s">
        <v>71</v>
      </c>
      <c r="G32" s="2" t="s">
        <v>20</v>
      </c>
      <c r="H32" s="2" t="s">
        <v>114</v>
      </c>
      <c r="I32" s="4">
        <v>5</v>
      </c>
      <c r="J32" s="5">
        <v>4000</v>
      </c>
      <c r="K32" s="6">
        <v>0.2</v>
      </c>
      <c r="L32" s="2" t="s">
        <v>47</v>
      </c>
      <c r="M32" s="2" t="s">
        <v>112</v>
      </c>
      <c r="N32" s="5">
        <f t="shared" si="2"/>
        <v>20000</v>
      </c>
      <c r="O32" s="5">
        <f t="shared" si="0"/>
        <v>4000</v>
      </c>
      <c r="P32" s="5">
        <f t="shared" si="1"/>
        <v>16000</v>
      </c>
    </row>
    <row r="33" spans="1:16" x14ac:dyDescent="0.25">
      <c r="A33" s="2" t="s">
        <v>115</v>
      </c>
      <c r="B33" s="3">
        <v>46017</v>
      </c>
      <c r="C33" s="2" t="s">
        <v>116</v>
      </c>
      <c r="D33" s="2" t="s">
        <v>18</v>
      </c>
      <c r="E33" s="4">
        <v>62</v>
      </c>
      <c r="F33" s="2" t="s">
        <v>19</v>
      </c>
      <c r="G33" s="2" t="s">
        <v>65</v>
      </c>
      <c r="H33" s="2" t="s">
        <v>90</v>
      </c>
      <c r="I33" s="4">
        <v>7</v>
      </c>
      <c r="J33" s="5">
        <v>14300</v>
      </c>
      <c r="K33" s="6">
        <v>0.15</v>
      </c>
      <c r="L33" s="2" t="s">
        <v>29</v>
      </c>
      <c r="M33" s="2" t="s">
        <v>94</v>
      </c>
      <c r="N33" s="5">
        <f t="shared" si="2"/>
        <v>100100</v>
      </c>
      <c r="O33" s="5">
        <f t="shared" si="0"/>
        <v>15015</v>
      </c>
      <c r="P33" s="5">
        <f t="shared" si="1"/>
        <v>85085</v>
      </c>
    </row>
    <row r="34" spans="1:16" x14ac:dyDescent="0.25">
      <c r="A34" s="2" t="s">
        <v>117</v>
      </c>
      <c r="B34" s="3">
        <v>46165</v>
      </c>
      <c r="C34" s="2" t="s">
        <v>118</v>
      </c>
      <c r="D34" s="2" t="s">
        <v>33</v>
      </c>
      <c r="E34" s="4">
        <v>37</v>
      </c>
      <c r="F34" s="2" t="s">
        <v>100</v>
      </c>
      <c r="G34" s="2" t="s">
        <v>65</v>
      </c>
      <c r="H34" s="2" t="s">
        <v>66</v>
      </c>
      <c r="I34" s="4">
        <v>5</v>
      </c>
      <c r="J34" s="5">
        <v>3700</v>
      </c>
      <c r="K34" s="6">
        <v>7.0000000000000007E-2</v>
      </c>
      <c r="L34" s="2" t="s">
        <v>47</v>
      </c>
      <c r="M34" s="2" t="s">
        <v>30</v>
      </c>
      <c r="N34" s="5">
        <f t="shared" si="2"/>
        <v>18500</v>
      </c>
      <c r="O34" s="5">
        <f t="shared" si="0"/>
        <v>1295.0000000000002</v>
      </c>
      <c r="P34" s="5">
        <f t="shared" si="1"/>
        <v>17205</v>
      </c>
    </row>
    <row r="35" spans="1:16" x14ac:dyDescent="0.25">
      <c r="A35" s="2" t="s">
        <v>119</v>
      </c>
      <c r="B35" s="3">
        <v>46160</v>
      </c>
      <c r="C35" s="2" t="s">
        <v>58</v>
      </c>
      <c r="D35" s="2" t="s">
        <v>18</v>
      </c>
      <c r="E35" s="4">
        <v>38</v>
      </c>
      <c r="F35" s="2" t="s">
        <v>100</v>
      </c>
      <c r="G35" s="2" t="s">
        <v>51</v>
      </c>
      <c r="H35" s="2" t="s">
        <v>120</v>
      </c>
      <c r="I35" s="4">
        <v>9</v>
      </c>
      <c r="J35" s="5">
        <v>32000</v>
      </c>
      <c r="K35" s="6">
        <v>0.18</v>
      </c>
      <c r="L35" s="2" t="s">
        <v>29</v>
      </c>
      <c r="M35" s="2" t="s">
        <v>94</v>
      </c>
      <c r="N35" s="5">
        <f t="shared" si="2"/>
        <v>288000</v>
      </c>
      <c r="O35" s="5">
        <f t="shared" si="0"/>
        <v>51840</v>
      </c>
      <c r="P35" s="5">
        <f t="shared" si="1"/>
        <v>236160</v>
      </c>
    </row>
    <row r="36" spans="1:16" x14ac:dyDescent="0.25">
      <c r="A36" s="2" t="s">
        <v>121</v>
      </c>
      <c r="B36" s="3">
        <v>46187</v>
      </c>
      <c r="C36" s="2" t="s">
        <v>122</v>
      </c>
      <c r="D36" s="2" t="s">
        <v>33</v>
      </c>
      <c r="E36" s="4">
        <v>36</v>
      </c>
      <c r="F36" s="2" t="s">
        <v>71</v>
      </c>
      <c r="G36" s="2" t="s">
        <v>35</v>
      </c>
      <c r="H36" s="2" t="s">
        <v>74</v>
      </c>
      <c r="I36" s="4">
        <v>4</v>
      </c>
      <c r="J36" s="5">
        <v>2400</v>
      </c>
      <c r="K36" s="6">
        <v>0.1</v>
      </c>
      <c r="L36" s="2" t="s">
        <v>22</v>
      </c>
      <c r="M36" s="2" t="s">
        <v>60</v>
      </c>
      <c r="N36" s="5">
        <f t="shared" si="2"/>
        <v>9600</v>
      </c>
      <c r="O36" s="5">
        <f t="shared" si="0"/>
        <v>960</v>
      </c>
      <c r="P36" s="5">
        <f t="shared" si="1"/>
        <v>8640</v>
      </c>
    </row>
    <row r="37" spans="1:16" x14ac:dyDescent="0.25">
      <c r="A37" s="2" t="s">
        <v>123</v>
      </c>
      <c r="B37" s="3">
        <v>45925</v>
      </c>
      <c r="C37" s="2" t="s">
        <v>17</v>
      </c>
      <c r="D37" s="2" t="s">
        <v>18</v>
      </c>
      <c r="E37" s="4">
        <v>20</v>
      </c>
      <c r="F37" s="2" t="s">
        <v>26</v>
      </c>
      <c r="G37" s="2" t="s">
        <v>51</v>
      </c>
      <c r="H37" s="2" t="s">
        <v>111</v>
      </c>
      <c r="I37" s="4">
        <v>7</v>
      </c>
      <c r="J37" s="5">
        <v>369400</v>
      </c>
      <c r="K37" s="6">
        <v>7.0000000000000007E-2</v>
      </c>
      <c r="L37" s="2" t="s">
        <v>29</v>
      </c>
      <c r="M37" s="2" t="s">
        <v>112</v>
      </c>
      <c r="N37" s="5">
        <f t="shared" si="2"/>
        <v>2585800</v>
      </c>
      <c r="O37" s="5">
        <f t="shared" si="0"/>
        <v>181006.00000000003</v>
      </c>
      <c r="P37" s="5">
        <f t="shared" si="1"/>
        <v>2404794</v>
      </c>
    </row>
    <row r="38" spans="1:16" x14ac:dyDescent="0.25">
      <c r="A38" s="2" t="s">
        <v>124</v>
      </c>
      <c r="B38" s="3">
        <v>46103</v>
      </c>
      <c r="C38" s="2" t="s">
        <v>116</v>
      </c>
      <c r="D38" s="2" t="s">
        <v>18</v>
      </c>
      <c r="E38" s="4">
        <v>33</v>
      </c>
      <c r="F38" s="2" t="s">
        <v>26</v>
      </c>
      <c r="G38" s="2" t="s">
        <v>35</v>
      </c>
      <c r="H38" s="2" t="s">
        <v>125</v>
      </c>
      <c r="I38" s="4">
        <v>2</v>
      </c>
      <c r="J38" s="5">
        <v>2400</v>
      </c>
      <c r="K38" s="6">
        <v>0.15</v>
      </c>
      <c r="L38" s="2" t="s">
        <v>22</v>
      </c>
      <c r="M38" s="2" t="s">
        <v>94</v>
      </c>
      <c r="N38" s="5">
        <f t="shared" si="2"/>
        <v>4800</v>
      </c>
      <c r="O38" s="5">
        <f t="shared" si="0"/>
        <v>720</v>
      </c>
      <c r="P38" s="5">
        <f t="shared" si="1"/>
        <v>4080</v>
      </c>
    </row>
    <row r="39" spans="1:16" x14ac:dyDescent="0.25">
      <c r="A39" s="2" t="s">
        <v>126</v>
      </c>
      <c r="B39" s="3">
        <v>46206</v>
      </c>
      <c r="C39" s="2" t="s">
        <v>39</v>
      </c>
      <c r="D39" s="2" t="s">
        <v>33</v>
      </c>
      <c r="E39" s="4">
        <v>47</v>
      </c>
      <c r="F39" s="2" t="s">
        <v>40</v>
      </c>
      <c r="G39" s="2" t="s">
        <v>65</v>
      </c>
      <c r="H39" s="2" t="s">
        <v>90</v>
      </c>
      <c r="I39" s="4">
        <v>8</v>
      </c>
      <c r="J39" s="5">
        <v>12000</v>
      </c>
      <c r="K39" s="6">
        <v>0.05</v>
      </c>
      <c r="L39" s="2" t="s">
        <v>47</v>
      </c>
      <c r="M39" s="2" t="s">
        <v>42</v>
      </c>
      <c r="N39" s="5">
        <f t="shared" si="2"/>
        <v>96000</v>
      </c>
      <c r="O39" s="5">
        <f t="shared" si="0"/>
        <v>4800</v>
      </c>
      <c r="P39" s="5">
        <f t="shared" si="1"/>
        <v>91200</v>
      </c>
    </row>
    <row r="40" spans="1:16" x14ac:dyDescent="0.25">
      <c r="A40" s="2" t="s">
        <v>127</v>
      </c>
      <c r="B40" s="3">
        <v>46136</v>
      </c>
      <c r="C40" s="2" t="s">
        <v>128</v>
      </c>
      <c r="D40" s="2" t="s">
        <v>33</v>
      </c>
      <c r="E40" s="4">
        <v>38</v>
      </c>
      <c r="F40" s="2" t="s">
        <v>100</v>
      </c>
      <c r="G40" s="2" t="s">
        <v>65</v>
      </c>
      <c r="H40" s="2" t="s">
        <v>129</v>
      </c>
      <c r="I40" s="4">
        <v>8</v>
      </c>
      <c r="J40" s="5">
        <v>19000</v>
      </c>
      <c r="K40" s="6">
        <v>0.05</v>
      </c>
      <c r="L40" s="2" t="s">
        <v>29</v>
      </c>
      <c r="M40" s="2" t="s">
        <v>23</v>
      </c>
      <c r="N40" s="5">
        <f t="shared" si="2"/>
        <v>152000</v>
      </c>
      <c r="O40" s="5">
        <f t="shared" si="0"/>
        <v>7600</v>
      </c>
      <c r="P40" s="5">
        <f t="shared" si="1"/>
        <v>144400</v>
      </c>
    </row>
    <row r="41" spans="1:16" x14ac:dyDescent="0.25">
      <c r="A41" s="2" t="s">
        <v>130</v>
      </c>
      <c r="B41" s="3">
        <v>46080</v>
      </c>
      <c r="C41" s="2" t="s">
        <v>110</v>
      </c>
      <c r="D41" s="2" t="s">
        <v>18</v>
      </c>
      <c r="E41" s="4">
        <v>33</v>
      </c>
      <c r="F41" s="2" t="s">
        <v>34</v>
      </c>
      <c r="G41" s="2" t="s">
        <v>20</v>
      </c>
      <c r="H41" s="2" t="s">
        <v>108</v>
      </c>
      <c r="I41" s="4">
        <v>4</v>
      </c>
      <c r="J41" s="5">
        <v>55500</v>
      </c>
      <c r="K41" s="6">
        <v>0.1</v>
      </c>
      <c r="L41" s="2" t="s">
        <v>47</v>
      </c>
      <c r="M41" s="2" t="s">
        <v>48</v>
      </c>
      <c r="N41" s="5">
        <f t="shared" si="2"/>
        <v>222000</v>
      </c>
      <c r="O41" s="5">
        <f t="shared" si="0"/>
        <v>22200</v>
      </c>
      <c r="P41" s="5">
        <f t="shared" si="1"/>
        <v>199800</v>
      </c>
    </row>
    <row r="42" spans="1:16" x14ac:dyDescent="0.25">
      <c r="A42" s="2" t="s">
        <v>131</v>
      </c>
      <c r="B42" s="3">
        <v>46215</v>
      </c>
      <c r="C42" s="2" t="s">
        <v>132</v>
      </c>
      <c r="D42" s="2" t="s">
        <v>33</v>
      </c>
      <c r="E42" s="4">
        <v>33</v>
      </c>
      <c r="F42" s="2" t="s">
        <v>19</v>
      </c>
      <c r="G42" s="2" t="s">
        <v>20</v>
      </c>
      <c r="H42" s="2" t="s">
        <v>86</v>
      </c>
      <c r="I42" s="4">
        <v>2</v>
      </c>
      <c r="J42" s="5">
        <v>12400</v>
      </c>
      <c r="K42" s="6">
        <v>0.05</v>
      </c>
      <c r="L42" s="2" t="s">
        <v>22</v>
      </c>
      <c r="M42" s="2" t="s">
        <v>60</v>
      </c>
      <c r="N42" s="5">
        <f t="shared" si="2"/>
        <v>24800</v>
      </c>
      <c r="O42" s="5">
        <f t="shared" si="0"/>
        <v>1240</v>
      </c>
      <c r="P42" s="5">
        <f t="shared" si="1"/>
        <v>23560</v>
      </c>
    </row>
    <row r="43" spans="1:16" x14ac:dyDescent="0.25">
      <c r="A43" s="2" t="s">
        <v>133</v>
      </c>
      <c r="B43" s="3">
        <v>46046</v>
      </c>
      <c r="C43" s="2" t="s">
        <v>70</v>
      </c>
      <c r="D43" s="2" t="s">
        <v>18</v>
      </c>
      <c r="E43" s="4">
        <v>27</v>
      </c>
      <c r="F43" s="2" t="s">
        <v>34</v>
      </c>
      <c r="G43" s="2" t="s">
        <v>27</v>
      </c>
      <c r="H43" s="2" t="s">
        <v>77</v>
      </c>
      <c r="I43" s="4">
        <v>7</v>
      </c>
      <c r="J43" s="5">
        <v>38600</v>
      </c>
      <c r="K43" s="6">
        <v>0.12</v>
      </c>
      <c r="L43" s="2" t="s">
        <v>29</v>
      </c>
      <c r="M43" s="2" t="s">
        <v>23</v>
      </c>
      <c r="N43" s="5">
        <f t="shared" si="2"/>
        <v>270200</v>
      </c>
      <c r="O43" s="5">
        <f t="shared" si="0"/>
        <v>32424</v>
      </c>
      <c r="P43" s="5">
        <f t="shared" si="1"/>
        <v>237776</v>
      </c>
    </row>
    <row r="44" spans="1:16" x14ac:dyDescent="0.25">
      <c r="A44" s="2" t="s">
        <v>134</v>
      </c>
      <c r="B44" s="3">
        <v>46062</v>
      </c>
      <c r="C44" s="2" t="s">
        <v>76</v>
      </c>
      <c r="D44" s="2" t="s">
        <v>33</v>
      </c>
      <c r="E44" s="4">
        <v>31</v>
      </c>
      <c r="F44" s="2" t="s">
        <v>100</v>
      </c>
      <c r="G44" s="2" t="s">
        <v>51</v>
      </c>
      <c r="H44" s="2" t="s">
        <v>111</v>
      </c>
      <c r="I44" s="4">
        <v>7</v>
      </c>
      <c r="J44" s="5">
        <v>400900</v>
      </c>
      <c r="K44" s="6">
        <v>0.18</v>
      </c>
      <c r="L44" s="2" t="s">
        <v>22</v>
      </c>
      <c r="M44" s="2" t="s">
        <v>37</v>
      </c>
      <c r="N44" s="5">
        <f t="shared" si="2"/>
        <v>2806300</v>
      </c>
      <c r="O44" s="5">
        <f t="shared" si="0"/>
        <v>505134</v>
      </c>
      <c r="P44" s="5">
        <f t="shared" si="1"/>
        <v>2301166</v>
      </c>
    </row>
    <row r="45" spans="1:16" x14ac:dyDescent="0.25">
      <c r="A45" s="2" t="s">
        <v>135</v>
      </c>
      <c r="B45" s="3">
        <v>46002</v>
      </c>
      <c r="C45" s="2" t="s">
        <v>25</v>
      </c>
      <c r="D45" s="2" t="s">
        <v>18</v>
      </c>
      <c r="E45" s="4">
        <v>42</v>
      </c>
      <c r="F45" s="2" t="s">
        <v>100</v>
      </c>
      <c r="G45" s="2" t="s">
        <v>65</v>
      </c>
      <c r="H45" s="2" t="s">
        <v>90</v>
      </c>
      <c r="I45" s="4">
        <v>4</v>
      </c>
      <c r="J45" s="5">
        <v>24000</v>
      </c>
      <c r="K45" s="6">
        <v>0.1</v>
      </c>
      <c r="L45" s="2" t="s">
        <v>47</v>
      </c>
      <c r="M45" s="2" t="s">
        <v>23</v>
      </c>
      <c r="N45" s="5">
        <f t="shared" si="2"/>
        <v>96000</v>
      </c>
      <c r="O45" s="5">
        <f t="shared" si="0"/>
        <v>9600</v>
      </c>
      <c r="P45" s="5">
        <f t="shared" si="1"/>
        <v>86400</v>
      </c>
    </row>
    <row r="46" spans="1:16" x14ac:dyDescent="0.25">
      <c r="A46" s="2" t="s">
        <v>136</v>
      </c>
      <c r="B46" s="3">
        <v>45864</v>
      </c>
      <c r="C46" s="2" t="s">
        <v>137</v>
      </c>
      <c r="D46" s="2" t="s">
        <v>33</v>
      </c>
      <c r="E46" s="4">
        <v>39</v>
      </c>
      <c r="F46" s="2" t="s">
        <v>34</v>
      </c>
      <c r="G46" s="2" t="s">
        <v>35</v>
      </c>
      <c r="H46" s="2" t="s">
        <v>55</v>
      </c>
      <c r="I46" s="4">
        <v>8</v>
      </c>
      <c r="J46" s="5">
        <v>4200</v>
      </c>
      <c r="K46" s="6">
        <v>0.05</v>
      </c>
      <c r="L46" s="2" t="s">
        <v>29</v>
      </c>
      <c r="M46" s="2" t="s">
        <v>42</v>
      </c>
      <c r="N46" s="5">
        <f t="shared" si="2"/>
        <v>33600</v>
      </c>
      <c r="O46" s="5">
        <f t="shared" si="0"/>
        <v>1680</v>
      </c>
      <c r="P46" s="5">
        <f t="shared" si="1"/>
        <v>31920</v>
      </c>
    </row>
    <row r="47" spans="1:16" x14ac:dyDescent="0.25">
      <c r="A47" s="2" t="s">
        <v>138</v>
      </c>
      <c r="B47" s="3">
        <v>45863</v>
      </c>
      <c r="C47" s="2" t="s">
        <v>116</v>
      </c>
      <c r="D47" s="2" t="s">
        <v>18</v>
      </c>
      <c r="E47" s="4">
        <v>55</v>
      </c>
      <c r="F47" s="2" t="s">
        <v>71</v>
      </c>
      <c r="G47" s="2" t="s">
        <v>35</v>
      </c>
      <c r="H47" s="2" t="s">
        <v>125</v>
      </c>
      <c r="I47" s="4">
        <v>7</v>
      </c>
      <c r="J47" s="5">
        <v>1600</v>
      </c>
      <c r="K47" s="6">
        <v>0.05</v>
      </c>
      <c r="L47" s="2" t="s">
        <v>47</v>
      </c>
      <c r="M47" s="2" t="s">
        <v>94</v>
      </c>
      <c r="N47" s="5">
        <f t="shared" si="2"/>
        <v>11200</v>
      </c>
      <c r="O47" s="5">
        <f t="shared" si="0"/>
        <v>560</v>
      </c>
      <c r="P47" s="5">
        <f t="shared" si="1"/>
        <v>10640</v>
      </c>
    </row>
    <row r="48" spans="1:16" x14ac:dyDescent="0.25">
      <c r="A48" s="2" t="s">
        <v>139</v>
      </c>
      <c r="B48" s="3">
        <v>45875</v>
      </c>
      <c r="C48" s="2" t="s">
        <v>110</v>
      </c>
      <c r="D48" s="2" t="s">
        <v>18</v>
      </c>
      <c r="E48" s="4">
        <v>42</v>
      </c>
      <c r="F48" s="2" t="s">
        <v>19</v>
      </c>
      <c r="G48" s="2" t="s">
        <v>27</v>
      </c>
      <c r="H48" s="2" t="s">
        <v>28</v>
      </c>
      <c r="I48" s="4">
        <v>6</v>
      </c>
      <c r="J48" s="5">
        <v>40700</v>
      </c>
      <c r="K48" s="6">
        <v>0.15</v>
      </c>
      <c r="L48" s="2" t="s">
        <v>47</v>
      </c>
      <c r="M48" s="2" t="s">
        <v>112</v>
      </c>
      <c r="N48" s="5">
        <f t="shared" si="2"/>
        <v>244200</v>
      </c>
      <c r="O48" s="5">
        <f t="shared" si="0"/>
        <v>36630</v>
      </c>
      <c r="P48" s="5">
        <f t="shared" si="1"/>
        <v>207570</v>
      </c>
    </row>
    <row r="49" spans="1:16" x14ac:dyDescent="0.25">
      <c r="A49" s="2" t="s">
        <v>140</v>
      </c>
      <c r="B49" s="3">
        <v>45979</v>
      </c>
      <c r="C49" s="2" t="s">
        <v>122</v>
      </c>
      <c r="D49" s="2" t="s">
        <v>33</v>
      </c>
      <c r="E49" s="4">
        <v>48</v>
      </c>
      <c r="F49" s="2" t="s">
        <v>40</v>
      </c>
      <c r="G49" s="2" t="s">
        <v>35</v>
      </c>
      <c r="H49" s="2" t="s">
        <v>125</v>
      </c>
      <c r="I49" s="4">
        <v>6</v>
      </c>
      <c r="J49" s="5">
        <v>2500</v>
      </c>
      <c r="K49" s="6">
        <v>7.0000000000000007E-2</v>
      </c>
      <c r="L49" s="2" t="s">
        <v>29</v>
      </c>
      <c r="M49" s="2" t="s">
        <v>48</v>
      </c>
      <c r="N49" s="5">
        <f t="shared" si="2"/>
        <v>15000</v>
      </c>
      <c r="O49" s="5">
        <f t="shared" si="0"/>
        <v>1050</v>
      </c>
      <c r="P49" s="5">
        <f t="shared" si="1"/>
        <v>13950</v>
      </c>
    </row>
    <row r="50" spans="1:16" x14ac:dyDescent="0.25">
      <c r="A50" s="2" t="s">
        <v>141</v>
      </c>
      <c r="B50" s="3">
        <v>46183</v>
      </c>
      <c r="C50" s="2" t="s">
        <v>96</v>
      </c>
      <c r="D50" s="2" t="s">
        <v>18</v>
      </c>
      <c r="E50" s="4">
        <v>19</v>
      </c>
      <c r="F50" s="2" t="s">
        <v>26</v>
      </c>
      <c r="G50" s="2" t="s">
        <v>27</v>
      </c>
      <c r="H50" s="2" t="s">
        <v>77</v>
      </c>
      <c r="I50" s="4">
        <v>3</v>
      </c>
      <c r="J50" s="5">
        <v>45400</v>
      </c>
      <c r="K50" s="6">
        <v>7.0000000000000007E-2</v>
      </c>
      <c r="L50" s="2" t="s">
        <v>22</v>
      </c>
      <c r="M50" s="2" t="s">
        <v>23</v>
      </c>
      <c r="N50" s="5">
        <f t="shared" si="2"/>
        <v>136200</v>
      </c>
      <c r="O50" s="5">
        <f t="shared" si="0"/>
        <v>9534</v>
      </c>
      <c r="P50" s="5">
        <f t="shared" si="1"/>
        <v>126666</v>
      </c>
    </row>
    <row r="51" spans="1:16" x14ac:dyDescent="0.25">
      <c r="A51" s="2" t="s">
        <v>142</v>
      </c>
      <c r="B51" s="3">
        <v>46192</v>
      </c>
      <c r="C51" s="2" t="s">
        <v>143</v>
      </c>
      <c r="D51" s="2" t="s">
        <v>33</v>
      </c>
      <c r="E51" s="4">
        <v>54</v>
      </c>
      <c r="F51" s="2" t="s">
        <v>26</v>
      </c>
      <c r="G51" s="2" t="s">
        <v>51</v>
      </c>
      <c r="H51" s="2" t="s">
        <v>92</v>
      </c>
      <c r="I51" s="4">
        <v>6</v>
      </c>
      <c r="J51" s="5">
        <v>27600</v>
      </c>
      <c r="K51" s="6">
        <v>0.05</v>
      </c>
      <c r="L51" s="2" t="s">
        <v>29</v>
      </c>
      <c r="M51" s="2" t="s">
        <v>30</v>
      </c>
      <c r="N51" s="5">
        <f t="shared" si="2"/>
        <v>165600</v>
      </c>
      <c r="O51" s="5">
        <f t="shared" si="0"/>
        <v>8280</v>
      </c>
      <c r="P51" s="5">
        <f t="shared" si="1"/>
        <v>157320</v>
      </c>
    </row>
    <row r="52" spans="1:16" x14ac:dyDescent="0.25">
      <c r="A52" s="2" t="s">
        <v>144</v>
      </c>
      <c r="B52" s="3">
        <v>45908</v>
      </c>
      <c r="C52" s="2" t="s">
        <v>145</v>
      </c>
      <c r="D52" s="2" t="s">
        <v>33</v>
      </c>
      <c r="E52" s="4">
        <v>28</v>
      </c>
      <c r="F52" s="2" t="s">
        <v>19</v>
      </c>
      <c r="G52" s="2" t="s">
        <v>45</v>
      </c>
      <c r="H52" s="2" t="s">
        <v>46</v>
      </c>
      <c r="I52" s="4">
        <v>10</v>
      </c>
      <c r="J52" s="5">
        <v>185900</v>
      </c>
      <c r="K52" s="6">
        <v>0.15</v>
      </c>
      <c r="L52" s="2" t="s">
        <v>47</v>
      </c>
      <c r="M52" s="2" t="s">
        <v>60</v>
      </c>
      <c r="N52" s="5">
        <f t="shared" si="2"/>
        <v>1859000</v>
      </c>
      <c r="O52" s="5">
        <f t="shared" si="0"/>
        <v>278850</v>
      </c>
      <c r="P52" s="5">
        <f t="shared" si="1"/>
        <v>1580150</v>
      </c>
    </row>
    <row r="53" spans="1:16" x14ac:dyDescent="0.25">
      <c r="A53" s="2" t="s">
        <v>146</v>
      </c>
      <c r="B53" s="3">
        <v>45888</v>
      </c>
      <c r="C53" s="2" t="s">
        <v>44</v>
      </c>
      <c r="D53" s="2" t="s">
        <v>18</v>
      </c>
      <c r="E53" s="4">
        <v>62</v>
      </c>
      <c r="F53" s="2" t="s">
        <v>34</v>
      </c>
      <c r="G53" s="2" t="s">
        <v>27</v>
      </c>
      <c r="H53" s="2" t="s">
        <v>77</v>
      </c>
      <c r="I53" s="4">
        <v>5</v>
      </c>
      <c r="J53" s="5">
        <v>47800</v>
      </c>
      <c r="K53" s="6">
        <v>0.02</v>
      </c>
      <c r="L53" s="2" t="s">
        <v>29</v>
      </c>
      <c r="M53" s="2" t="s">
        <v>56</v>
      </c>
      <c r="N53" s="5">
        <f t="shared" si="2"/>
        <v>239000</v>
      </c>
      <c r="O53" s="5">
        <f t="shared" si="0"/>
        <v>4780</v>
      </c>
      <c r="P53" s="5">
        <f t="shared" si="1"/>
        <v>234220</v>
      </c>
    </row>
    <row r="54" spans="1:16" x14ac:dyDescent="0.25">
      <c r="A54" s="2" t="s">
        <v>147</v>
      </c>
      <c r="B54" s="3">
        <v>46027</v>
      </c>
      <c r="C54" s="2" t="s">
        <v>62</v>
      </c>
      <c r="D54" s="2" t="s">
        <v>18</v>
      </c>
      <c r="E54" s="4">
        <v>45</v>
      </c>
      <c r="F54" s="2" t="s">
        <v>34</v>
      </c>
      <c r="G54" s="2" t="s">
        <v>20</v>
      </c>
      <c r="H54" s="2" t="s">
        <v>114</v>
      </c>
      <c r="I54" s="4">
        <v>6</v>
      </c>
      <c r="J54" s="5">
        <v>3500</v>
      </c>
      <c r="K54" s="6">
        <v>0</v>
      </c>
      <c r="L54" s="2" t="s">
        <v>47</v>
      </c>
      <c r="M54" s="2" t="s">
        <v>23</v>
      </c>
      <c r="N54" s="5">
        <f t="shared" si="2"/>
        <v>21000</v>
      </c>
      <c r="O54" s="5">
        <f t="shared" si="0"/>
        <v>0</v>
      </c>
      <c r="P54" s="5">
        <f t="shared" si="1"/>
        <v>21000</v>
      </c>
    </row>
    <row r="55" spans="1:16" x14ac:dyDescent="0.25">
      <c r="A55" s="2" t="s">
        <v>148</v>
      </c>
      <c r="B55" s="3">
        <v>45904</v>
      </c>
      <c r="C55" s="2" t="s">
        <v>107</v>
      </c>
      <c r="D55" s="2" t="s">
        <v>33</v>
      </c>
      <c r="E55" s="4">
        <v>41</v>
      </c>
      <c r="F55" s="2" t="s">
        <v>34</v>
      </c>
      <c r="G55" s="2" t="s">
        <v>51</v>
      </c>
      <c r="H55" s="2" t="s">
        <v>52</v>
      </c>
      <c r="I55" s="4">
        <v>3</v>
      </c>
      <c r="J55" s="5">
        <v>204200</v>
      </c>
      <c r="K55" s="6">
        <v>0.2</v>
      </c>
      <c r="L55" s="2" t="s">
        <v>29</v>
      </c>
      <c r="M55" s="2" t="s">
        <v>68</v>
      </c>
      <c r="N55" s="5">
        <f t="shared" si="2"/>
        <v>612600</v>
      </c>
      <c r="O55" s="5">
        <f t="shared" si="0"/>
        <v>122520</v>
      </c>
      <c r="P55" s="5">
        <f t="shared" si="1"/>
        <v>490080</v>
      </c>
    </row>
    <row r="56" spans="1:16" x14ac:dyDescent="0.25">
      <c r="A56" s="2" t="s">
        <v>149</v>
      </c>
      <c r="B56" s="3">
        <v>46165</v>
      </c>
      <c r="C56" s="2" t="s">
        <v>62</v>
      </c>
      <c r="D56" s="2" t="s">
        <v>18</v>
      </c>
      <c r="E56" s="4">
        <v>48</v>
      </c>
      <c r="F56" s="2" t="s">
        <v>100</v>
      </c>
      <c r="G56" s="2" t="s">
        <v>51</v>
      </c>
      <c r="H56" s="2" t="s">
        <v>92</v>
      </c>
      <c r="I56" s="4">
        <v>4</v>
      </c>
      <c r="J56" s="5">
        <v>20300</v>
      </c>
      <c r="K56" s="6">
        <v>0.02</v>
      </c>
      <c r="L56" s="2" t="s">
        <v>47</v>
      </c>
      <c r="M56" s="2" t="s">
        <v>23</v>
      </c>
      <c r="N56" s="5">
        <f t="shared" si="2"/>
        <v>81200</v>
      </c>
      <c r="O56" s="5">
        <f t="shared" si="0"/>
        <v>1624</v>
      </c>
      <c r="P56" s="5">
        <f t="shared" si="1"/>
        <v>79576</v>
      </c>
    </row>
    <row r="57" spans="1:16" x14ac:dyDescent="0.25">
      <c r="A57" s="2" t="s">
        <v>150</v>
      </c>
      <c r="B57" s="3">
        <v>45974</v>
      </c>
      <c r="C57" s="2" t="s">
        <v>25</v>
      </c>
      <c r="D57" s="2" t="s">
        <v>18</v>
      </c>
      <c r="E57" s="4">
        <v>47</v>
      </c>
      <c r="F57" s="2" t="s">
        <v>71</v>
      </c>
      <c r="G57" s="2" t="s">
        <v>65</v>
      </c>
      <c r="H57" s="2" t="s">
        <v>129</v>
      </c>
      <c r="I57" s="4">
        <v>1</v>
      </c>
      <c r="J57" s="5">
        <v>15500</v>
      </c>
      <c r="K57" s="6">
        <v>0.18</v>
      </c>
      <c r="L57" s="2" t="s">
        <v>47</v>
      </c>
      <c r="M57" s="2" t="s">
        <v>94</v>
      </c>
      <c r="N57" s="5">
        <f t="shared" si="2"/>
        <v>15500</v>
      </c>
      <c r="O57" s="5">
        <f t="shared" si="0"/>
        <v>2790</v>
      </c>
      <c r="P57" s="5">
        <f t="shared" si="1"/>
        <v>12710</v>
      </c>
    </row>
    <row r="58" spans="1:16" x14ac:dyDescent="0.25">
      <c r="A58" s="2" t="s">
        <v>151</v>
      </c>
      <c r="B58" s="3">
        <v>46099</v>
      </c>
      <c r="C58" s="2" t="s">
        <v>32</v>
      </c>
      <c r="D58" s="2" t="s">
        <v>33</v>
      </c>
      <c r="E58" s="4">
        <v>40</v>
      </c>
      <c r="F58" s="2" t="s">
        <v>19</v>
      </c>
      <c r="G58" s="2" t="s">
        <v>20</v>
      </c>
      <c r="H58" s="2" t="s">
        <v>86</v>
      </c>
      <c r="I58" s="4">
        <v>5</v>
      </c>
      <c r="J58" s="5">
        <v>12900</v>
      </c>
      <c r="K58" s="6">
        <v>0.2</v>
      </c>
      <c r="L58" s="2" t="s">
        <v>22</v>
      </c>
      <c r="M58" s="2" t="s">
        <v>42</v>
      </c>
      <c r="N58" s="5">
        <f t="shared" si="2"/>
        <v>64500</v>
      </c>
      <c r="O58" s="5">
        <f t="shared" si="0"/>
        <v>12900</v>
      </c>
      <c r="P58" s="5">
        <f t="shared" si="1"/>
        <v>51600</v>
      </c>
    </row>
    <row r="59" spans="1:16" x14ac:dyDescent="0.25">
      <c r="A59" s="2" t="s">
        <v>152</v>
      </c>
      <c r="B59" s="3">
        <v>45947</v>
      </c>
      <c r="C59" s="2" t="s">
        <v>122</v>
      </c>
      <c r="D59" s="2" t="s">
        <v>33</v>
      </c>
      <c r="E59" s="4">
        <v>33</v>
      </c>
      <c r="F59" s="2" t="s">
        <v>34</v>
      </c>
      <c r="G59" s="2" t="s">
        <v>51</v>
      </c>
      <c r="H59" s="2" t="s">
        <v>120</v>
      </c>
      <c r="I59" s="4">
        <v>4</v>
      </c>
      <c r="J59" s="5">
        <v>43200</v>
      </c>
      <c r="K59" s="6">
        <v>0.18</v>
      </c>
      <c r="L59" s="2" t="s">
        <v>29</v>
      </c>
      <c r="M59" s="2" t="s">
        <v>23</v>
      </c>
      <c r="N59" s="5">
        <f t="shared" si="2"/>
        <v>172800</v>
      </c>
      <c r="O59" s="5">
        <f t="shared" si="0"/>
        <v>31104</v>
      </c>
      <c r="P59" s="5">
        <f t="shared" si="1"/>
        <v>141696</v>
      </c>
    </row>
    <row r="60" spans="1:16" x14ac:dyDescent="0.25">
      <c r="A60" s="2" t="s">
        <v>153</v>
      </c>
      <c r="B60" s="3">
        <v>46079</v>
      </c>
      <c r="C60" s="2" t="s">
        <v>17</v>
      </c>
      <c r="D60" s="2" t="s">
        <v>18</v>
      </c>
      <c r="E60" s="4">
        <v>23</v>
      </c>
      <c r="F60" s="2" t="s">
        <v>19</v>
      </c>
      <c r="G60" s="2" t="s">
        <v>27</v>
      </c>
      <c r="H60" s="2" t="s">
        <v>28</v>
      </c>
      <c r="I60" s="4">
        <v>4</v>
      </c>
      <c r="J60" s="5">
        <v>52700</v>
      </c>
      <c r="K60" s="6">
        <v>0.1</v>
      </c>
      <c r="L60" s="2" t="s">
        <v>29</v>
      </c>
      <c r="M60" s="2" t="s">
        <v>30</v>
      </c>
      <c r="N60" s="5">
        <f t="shared" si="2"/>
        <v>210800</v>
      </c>
      <c r="O60" s="5">
        <f t="shared" si="0"/>
        <v>21080</v>
      </c>
      <c r="P60" s="5">
        <f t="shared" si="1"/>
        <v>189720</v>
      </c>
    </row>
    <row r="61" spans="1:16" x14ac:dyDescent="0.25">
      <c r="A61" s="2" t="s">
        <v>154</v>
      </c>
      <c r="B61" s="3">
        <v>46038</v>
      </c>
      <c r="C61" s="2" t="s">
        <v>155</v>
      </c>
      <c r="D61" s="2" t="s">
        <v>18</v>
      </c>
      <c r="E61" s="4">
        <v>53</v>
      </c>
      <c r="F61" s="2" t="s">
        <v>71</v>
      </c>
      <c r="G61" s="2" t="s">
        <v>20</v>
      </c>
      <c r="H61" s="2" t="s">
        <v>108</v>
      </c>
      <c r="I61" s="4">
        <v>9</v>
      </c>
      <c r="J61" s="5">
        <v>59400</v>
      </c>
      <c r="K61" s="6">
        <v>0.12</v>
      </c>
      <c r="L61" s="2" t="s">
        <v>47</v>
      </c>
      <c r="M61" s="2" t="s">
        <v>23</v>
      </c>
      <c r="N61" s="5">
        <f t="shared" si="2"/>
        <v>534600</v>
      </c>
      <c r="O61" s="5">
        <f t="shared" si="0"/>
        <v>64152</v>
      </c>
      <c r="P61" s="5">
        <f t="shared" si="1"/>
        <v>470448</v>
      </c>
    </row>
    <row r="62" spans="1:16" x14ac:dyDescent="0.25">
      <c r="A62" s="2" t="s">
        <v>156</v>
      </c>
      <c r="B62" s="3">
        <v>45988</v>
      </c>
      <c r="C62" s="2" t="s">
        <v>157</v>
      </c>
      <c r="D62" s="2" t="s">
        <v>18</v>
      </c>
      <c r="E62" s="4">
        <v>34</v>
      </c>
      <c r="F62" s="2" t="s">
        <v>26</v>
      </c>
      <c r="G62" s="2" t="s">
        <v>45</v>
      </c>
      <c r="H62" s="2" t="s">
        <v>101</v>
      </c>
      <c r="I62" s="4">
        <v>2</v>
      </c>
      <c r="J62" s="5">
        <v>18300</v>
      </c>
      <c r="K62" s="6">
        <v>0.2</v>
      </c>
      <c r="L62" s="2" t="s">
        <v>29</v>
      </c>
      <c r="M62" s="2" t="s">
        <v>94</v>
      </c>
      <c r="N62" s="5">
        <f t="shared" si="2"/>
        <v>36600</v>
      </c>
      <c r="O62" s="5">
        <f t="shared" si="0"/>
        <v>7320</v>
      </c>
      <c r="P62" s="5">
        <f t="shared" si="1"/>
        <v>29280</v>
      </c>
    </row>
    <row r="63" spans="1:16" x14ac:dyDescent="0.25">
      <c r="A63" s="2" t="s">
        <v>158</v>
      </c>
      <c r="B63" s="3">
        <v>45948</v>
      </c>
      <c r="C63" s="2" t="s">
        <v>32</v>
      </c>
      <c r="D63" s="2" t="s">
        <v>33</v>
      </c>
      <c r="E63" s="4">
        <v>65</v>
      </c>
      <c r="F63" s="2" t="s">
        <v>100</v>
      </c>
      <c r="G63" s="2" t="s">
        <v>20</v>
      </c>
      <c r="H63" s="2" t="s">
        <v>86</v>
      </c>
      <c r="I63" s="4">
        <v>4</v>
      </c>
      <c r="J63" s="5">
        <v>8800</v>
      </c>
      <c r="K63" s="6">
        <v>0.1</v>
      </c>
      <c r="L63" s="2" t="s">
        <v>22</v>
      </c>
      <c r="M63" s="2" t="s">
        <v>37</v>
      </c>
      <c r="N63" s="5">
        <f t="shared" si="2"/>
        <v>35200</v>
      </c>
      <c r="O63" s="5">
        <f t="shared" si="0"/>
        <v>3520</v>
      </c>
      <c r="P63" s="5">
        <f t="shared" si="1"/>
        <v>31680</v>
      </c>
    </row>
    <row r="64" spans="1:16" x14ac:dyDescent="0.25">
      <c r="A64" s="2" t="s">
        <v>159</v>
      </c>
      <c r="B64" s="3">
        <v>45941</v>
      </c>
      <c r="C64" s="2" t="s">
        <v>157</v>
      </c>
      <c r="D64" s="2" t="s">
        <v>18</v>
      </c>
      <c r="E64" s="4">
        <v>18</v>
      </c>
      <c r="F64" s="2" t="s">
        <v>34</v>
      </c>
      <c r="G64" s="2" t="s">
        <v>65</v>
      </c>
      <c r="H64" s="2" t="s">
        <v>90</v>
      </c>
      <c r="I64" s="4">
        <v>1</v>
      </c>
      <c r="J64" s="5">
        <v>17000</v>
      </c>
      <c r="K64" s="6">
        <v>0</v>
      </c>
      <c r="L64" s="2" t="s">
        <v>29</v>
      </c>
      <c r="M64" s="2" t="s">
        <v>68</v>
      </c>
      <c r="N64" s="5">
        <f t="shared" si="2"/>
        <v>17000</v>
      </c>
      <c r="O64" s="5">
        <f t="shared" si="0"/>
        <v>0</v>
      </c>
      <c r="P64" s="5">
        <f t="shared" si="1"/>
        <v>17000</v>
      </c>
    </row>
    <row r="65" spans="1:16" x14ac:dyDescent="0.25">
      <c r="A65" s="2" t="s">
        <v>160</v>
      </c>
      <c r="B65" s="3">
        <v>46207</v>
      </c>
      <c r="C65" s="2" t="s">
        <v>161</v>
      </c>
      <c r="D65" s="2" t="s">
        <v>18</v>
      </c>
      <c r="E65" s="4">
        <v>58</v>
      </c>
      <c r="F65" s="2" t="s">
        <v>100</v>
      </c>
      <c r="G65" s="2" t="s">
        <v>45</v>
      </c>
      <c r="H65" s="2" t="s">
        <v>46</v>
      </c>
      <c r="I65" s="4">
        <v>8</v>
      </c>
      <c r="J65" s="5">
        <v>182300</v>
      </c>
      <c r="K65" s="6">
        <v>0.18</v>
      </c>
      <c r="L65" s="2" t="s">
        <v>47</v>
      </c>
      <c r="M65" s="2" t="s">
        <v>37</v>
      </c>
      <c r="N65" s="5">
        <f t="shared" si="2"/>
        <v>1458400</v>
      </c>
      <c r="O65" s="5">
        <f t="shared" si="0"/>
        <v>262512</v>
      </c>
      <c r="P65" s="5">
        <f t="shared" si="1"/>
        <v>1195888</v>
      </c>
    </row>
    <row r="66" spans="1:16" x14ac:dyDescent="0.25">
      <c r="A66" s="2" t="s">
        <v>162</v>
      </c>
      <c r="B66" s="3">
        <v>45944</v>
      </c>
      <c r="C66" s="2" t="s">
        <v>76</v>
      </c>
      <c r="D66" s="2" t="s">
        <v>33</v>
      </c>
      <c r="E66" s="4">
        <v>34</v>
      </c>
      <c r="F66" s="2" t="s">
        <v>100</v>
      </c>
      <c r="G66" s="2" t="s">
        <v>45</v>
      </c>
      <c r="H66" s="2" t="s">
        <v>46</v>
      </c>
      <c r="I66" s="4">
        <v>8</v>
      </c>
      <c r="J66" s="5">
        <v>197500</v>
      </c>
      <c r="K66" s="6">
        <v>0.02</v>
      </c>
      <c r="L66" s="2" t="s">
        <v>29</v>
      </c>
      <c r="M66" s="2" t="s">
        <v>56</v>
      </c>
      <c r="N66" s="5">
        <f t="shared" ref="N66:N129" si="3">I66*J66</f>
        <v>1580000</v>
      </c>
      <c r="O66" s="5">
        <f t="shared" ref="O66:O129" si="4">N66*K66</f>
        <v>31600</v>
      </c>
      <c r="P66" s="5">
        <f t="shared" ref="P66:P129" si="5">N66-O66</f>
        <v>1548400</v>
      </c>
    </row>
    <row r="67" spans="1:16" x14ac:dyDescent="0.25">
      <c r="A67" s="2" t="s">
        <v>163</v>
      </c>
      <c r="B67" s="3">
        <v>45927</v>
      </c>
      <c r="C67" s="2" t="s">
        <v>89</v>
      </c>
      <c r="D67" s="2" t="s">
        <v>33</v>
      </c>
      <c r="E67" s="4">
        <v>54</v>
      </c>
      <c r="F67" s="2" t="s">
        <v>19</v>
      </c>
      <c r="G67" s="2" t="s">
        <v>45</v>
      </c>
      <c r="H67" s="2" t="s">
        <v>101</v>
      </c>
      <c r="I67" s="4">
        <v>9</v>
      </c>
      <c r="J67" s="5">
        <v>11900</v>
      </c>
      <c r="K67" s="6">
        <v>0.15</v>
      </c>
      <c r="L67" s="2" t="s">
        <v>29</v>
      </c>
      <c r="M67" s="2" t="s">
        <v>30</v>
      </c>
      <c r="N67" s="5">
        <f t="shared" si="3"/>
        <v>107100</v>
      </c>
      <c r="O67" s="5">
        <f t="shared" si="4"/>
        <v>16065</v>
      </c>
      <c r="P67" s="5">
        <f t="shared" si="5"/>
        <v>91035</v>
      </c>
    </row>
    <row r="68" spans="1:16" x14ac:dyDescent="0.25">
      <c r="A68" s="2" t="s">
        <v>164</v>
      </c>
      <c r="B68" s="3">
        <v>46166</v>
      </c>
      <c r="C68" s="2" t="s">
        <v>165</v>
      </c>
      <c r="D68" s="2" t="s">
        <v>33</v>
      </c>
      <c r="E68" s="4">
        <v>51</v>
      </c>
      <c r="F68" s="2" t="s">
        <v>100</v>
      </c>
      <c r="G68" s="2" t="s">
        <v>51</v>
      </c>
      <c r="H68" s="2" t="s">
        <v>120</v>
      </c>
      <c r="I68" s="4">
        <v>10</v>
      </c>
      <c r="J68" s="5">
        <v>34700</v>
      </c>
      <c r="K68" s="6">
        <v>0.15</v>
      </c>
      <c r="L68" s="2" t="s">
        <v>47</v>
      </c>
      <c r="M68" s="2" t="s">
        <v>30</v>
      </c>
      <c r="N68" s="5">
        <f t="shared" si="3"/>
        <v>347000</v>
      </c>
      <c r="O68" s="5">
        <f t="shared" si="4"/>
        <v>52050</v>
      </c>
      <c r="P68" s="5">
        <f t="shared" si="5"/>
        <v>294950</v>
      </c>
    </row>
    <row r="69" spans="1:16" x14ac:dyDescent="0.25">
      <c r="A69" s="2" t="s">
        <v>166</v>
      </c>
      <c r="B69" s="3">
        <v>46167</v>
      </c>
      <c r="C69" s="2" t="s">
        <v>76</v>
      </c>
      <c r="D69" s="2" t="s">
        <v>33</v>
      </c>
      <c r="E69" s="4">
        <v>57</v>
      </c>
      <c r="F69" s="2" t="s">
        <v>34</v>
      </c>
      <c r="G69" s="2" t="s">
        <v>45</v>
      </c>
      <c r="H69" s="2" t="s">
        <v>101</v>
      </c>
      <c r="I69" s="4">
        <v>5</v>
      </c>
      <c r="J69" s="5">
        <v>14900</v>
      </c>
      <c r="K69" s="6">
        <v>0.02</v>
      </c>
      <c r="L69" s="2" t="s">
        <v>22</v>
      </c>
      <c r="M69" s="2" t="s">
        <v>60</v>
      </c>
      <c r="N69" s="5">
        <f t="shared" si="3"/>
        <v>74500</v>
      </c>
      <c r="O69" s="5">
        <f t="shared" si="4"/>
        <v>1490</v>
      </c>
      <c r="P69" s="5">
        <f t="shared" si="5"/>
        <v>73010</v>
      </c>
    </row>
    <row r="70" spans="1:16" x14ac:dyDescent="0.25">
      <c r="A70" s="2" t="s">
        <v>167</v>
      </c>
      <c r="B70" s="3">
        <v>45938</v>
      </c>
      <c r="C70" s="2" t="s">
        <v>168</v>
      </c>
      <c r="D70" s="2" t="s">
        <v>33</v>
      </c>
      <c r="E70" s="4">
        <v>22</v>
      </c>
      <c r="F70" s="2" t="s">
        <v>26</v>
      </c>
      <c r="G70" s="2" t="s">
        <v>45</v>
      </c>
      <c r="H70" s="2" t="s">
        <v>59</v>
      </c>
      <c r="I70" s="4">
        <v>10</v>
      </c>
      <c r="J70" s="5">
        <v>15700</v>
      </c>
      <c r="K70" s="6">
        <v>0.18</v>
      </c>
      <c r="L70" s="2" t="s">
        <v>47</v>
      </c>
      <c r="M70" s="2" t="s">
        <v>56</v>
      </c>
      <c r="N70" s="5">
        <f t="shared" si="3"/>
        <v>157000</v>
      </c>
      <c r="O70" s="5">
        <f t="shared" si="4"/>
        <v>28260</v>
      </c>
      <c r="P70" s="5">
        <f t="shared" si="5"/>
        <v>128740</v>
      </c>
    </row>
    <row r="71" spans="1:16" x14ac:dyDescent="0.25">
      <c r="A71" s="2" t="s">
        <v>169</v>
      </c>
      <c r="B71" s="3">
        <v>45968</v>
      </c>
      <c r="C71" s="2" t="s">
        <v>132</v>
      </c>
      <c r="D71" s="2" t="s">
        <v>33</v>
      </c>
      <c r="E71" s="4">
        <v>63</v>
      </c>
      <c r="F71" s="2" t="s">
        <v>19</v>
      </c>
      <c r="G71" s="2" t="s">
        <v>35</v>
      </c>
      <c r="H71" s="2" t="s">
        <v>55</v>
      </c>
      <c r="I71" s="4">
        <v>4</v>
      </c>
      <c r="J71" s="5">
        <v>3800</v>
      </c>
      <c r="K71" s="6">
        <v>0.1</v>
      </c>
      <c r="L71" s="2" t="s">
        <v>29</v>
      </c>
      <c r="M71" s="2" t="s">
        <v>30</v>
      </c>
      <c r="N71" s="5">
        <f t="shared" si="3"/>
        <v>15200</v>
      </c>
      <c r="O71" s="5">
        <f t="shared" si="4"/>
        <v>1520</v>
      </c>
      <c r="P71" s="5">
        <f t="shared" si="5"/>
        <v>13680</v>
      </c>
    </row>
    <row r="72" spans="1:16" x14ac:dyDescent="0.25">
      <c r="A72" s="2" t="s">
        <v>170</v>
      </c>
      <c r="B72" s="3">
        <v>46188</v>
      </c>
      <c r="C72" s="2" t="s">
        <v>54</v>
      </c>
      <c r="D72" s="2" t="s">
        <v>33</v>
      </c>
      <c r="E72" s="4">
        <v>45</v>
      </c>
      <c r="F72" s="2" t="s">
        <v>40</v>
      </c>
      <c r="G72" s="2" t="s">
        <v>65</v>
      </c>
      <c r="H72" s="2" t="s">
        <v>90</v>
      </c>
      <c r="I72" s="4">
        <v>5</v>
      </c>
      <c r="J72" s="5">
        <v>12900</v>
      </c>
      <c r="K72" s="6">
        <v>0.05</v>
      </c>
      <c r="L72" s="2" t="s">
        <v>22</v>
      </c>
      <c r="M72" s="2" t="s">
        <v>56</v>
      </c>
      <c r="N72" s="5">
        <f t="shared" si="3"/>
        <v>64500</v>
      </c>
      <c r="O72" s="5">
        <f t="shared" si="4"/>
        <v>3225</v>
      </c>
      <c r="P72" s="5">
        <f t="shared" si="5"/>
        <v>61275</v>
      </c>
    </row>
    <row r="73" spans="1:16" x14ac:dyDescent="0.25">
      <c r="A73" s="2" t="s">
        <v>171</v>
      </c>
      <c r="B73" s="3">
        <v>45934</v>
      </c>
      <c r="C73" s="2" t="s">
        <v>157</v>
      </c>
      <c r="D73" s="2" t="s">
        <v>18</v>
      </c>
      <c r="E73" s="4">
        <v>56</v>
      </c>
      <c r="F73" s="2" t="s">
        <v>34</v>
      </c>
      <c r="G73" s="2" t="s">
        <v>65</v>
      </c>
      <c r="H73" s="2" t="s">
        <v>172</v>
      </c>
      <c r="I73" s="4">
        <v>2</v>
      </c>
      <c r="J73" s="5">
        <v>4800</v>
      </c>
      <c r="K73" s="6">
        <v>0.18</v>
      </c>
      <c r="L73" s="2" t="s">
        <v>29</v>
      </c>
      <c r="M73" s="2" t="s">
        <v>68</v>
      </c>
      <c r="N73" s="5">
        <f t="shared" si="3"/>
        <v>9600</v>
      </c>
      <c r="O73" s="5">
        <f t="shared" si="4"/>
        <v>1728</v>
      </c>
      <c r="P73" s="5">
        <f t="shared" si="5"/>
        <v>7872</v>
      </c>
    </row>
    <row r="74" spans="1:16" x14ac:dyDescent="0.25">
      <c r="A74" s="2" t="s">
        <v>173</v>
      </c>
      <c r="B74" s="3">
        <v>46208</v>
      </c>
      <c r="C74" s="2" t="s">
        <v>116</v>
      </c>
      <c r="D74" s="2" t="s">
        <v>18</v>
      </c>
      <c r="E74" s="4">
        <v>35</v>
      </c>
      <c r="F74" s="2" t="s">
        <v>71</v>
      </c>
      <c r="G74" s="2" t="s">
        <v>65</v>
      </c>
      <c r="H74" s="2" t="s">
        <v>129</v>
      </c>
      <c r="I74" s="4">
        <v>2</v>
      </c>
      <c r="J74" s="5">
        <v>17200</v>
      </c>
      <c r="K74" s="6">
        <v>0</v>
      </c>
      <c r="L74" s="2" t="s">
        <v>47</v>
      </c>
      <c r="M74" s="2" t="s">
        <v>37</v>
      </c>
      <c r="N74" s="5">
        <f t="shared" si="3"/>
        <v>34400</v>
      </c>
      <c r="O74" s="5">
        <f t="shared" si="4"/>
        <v>0</v>
      </c>
      <c r="P74" s="5">
        <f t="shared" si="5"/>
        <v>34400</v>
      </c>
    </row>
    <row r="75" spans="1:16" x14ac:dyDescent="0.25">
      <c r="A75" s="2" t="s">
        <v>174</v>
      </c>
      <c r="B75" s="3">
        <v>46159</v>
      </c>
      <c r="C75" s="2" t="s">
        <v>110</v>
      </c>
      <c r="D75" s="2" t="s">
        <v>18</v>
      </c>
      <c r="E75" s="4">
        <v>19</v>
      </c>
      <c r="F75" s="2" t="s">
        <v>40</v>
      </c>
      <c r="G75" s="2" t="s">
        <v>27</v>
      </c>
      <c r="H75" s="2" t="s">
        <v>77</v>
      </c>
      <c r="I75" s="4">
        <v>5</v>
      </c>
      <c r="J75" s="5">
        <v>50100</v>
      </c>
      <c r="K75" s="6">
        <v>0</v>
      </c>
      <c r="L75" s="2" t="s">
        <v>22</v>
      </c>
      <c r="M75" s="2" t="s">
        <v>23</v>
      </c>
      <c r="N75" s="5">
        <f t="shared" si="3"/>
        <v>250500</v>
      </c>
      <c r="O75" s="5">
        <f t="shared" si="4"/>
        <v>0</v>
      </c>
      <c r="P75" s="5">
        <f t="shared" si="5"/>
        <v>250500</v>
      </c>
    </row>
    <row r="76" spans="1:16" x14ac:dyDescent="0.25">
      <c r="A76" s="2" t="s">
        <v>175</v>
      </c>
      <c r="B76" s="3">
        <v>46115</v>
      </c>
      <c r="C76" s="2" t="s">
        <v>58</v>
      </c>
      <c r="D76" s="2" t="s">
        <v>18</v>
      </c>
      <c r="E76" s="4">
        <v>46</v>
      </c>
      <c r="F76" s="2" t="s">
        <v>19</v>
      </c>
      <c r="G76" s="2" t="s">
        <v>27</v>
      </c>
      <c r="H76" s="2" t="s">
        <v>28</v>
      </c>
      <c r="I76" s="4">
        <v>8</v>
      </c>
      <c r="J76" s="5">
        <v>50800</v>
      </c>
      <c r="K76" s="6">
        <v>0.02</v>
      </c>
      <c r="L76" s="2" t="s">
        <v>47</v>
      </c>
      <c r="M76" s="2" t="s">
        <v>37</v>
      </c>
      <c r="N76" s="5">
        <f t="shared" si="3"/>
        <v>406400</v>
      </c>
      <c r="O76" s="5">
        <f t="shared" si="4"/>
        <v>8128</v>
      </c>
      <c r="P76" s="5">
        <f t="shared" si="5"/>
        <v>398272</v>
      </c>
    </row>
    <row r="77" spans="1:16" x14ac:dyDescent="0.25">
      <c r="A77" s="2" t="s">
        <v>176</v>
      </c>
      <c r="B77" s="3">
        <v>46059</v>
      </c>
      <c r="C77" s="2" t="s">
        <v>177</v>
      </c>
      <c r="D77" s="2" t="s">
        <v>18</v>
      </c>
      <c r="E77" s="4">
        <v>38</v>
      </c>
      <c r="F77" s="2" t="s">
        <v>34</v>
      </c>
      <c r="G77" s="2" t="s">
        <v>45</v>
      </c>
      <c r="H77" s="2" t="s">
        <v>101</v>
      </c>
      <c r="I77" s="4">
        <v>7</v>
      </c>
      <c r="J77" s="5">
        <v>18800</v>
      </c>
      <c r="K77" s="6">
        <v>0.18</v>
      </c>
      <c r="L77" s="2" t="s">
        <v>47</v>
      </c>
      <c r="M77" s="2" t="s">
        <v>112</v>
      </c>
      <c r="N77" s="5">
        <f t="shared" si="3"/>
        <v>131600</v>
      </c>
      <c r="O77" s="5">
        <f t="shared" si="4"/>
        <v>23688</v>
      </c>
      <c r="P77" s="5">
        <f t="shared" si="5"/>
        <v>107912</v>
      </c>
    </row>
    <row r="78" spans="1:16" x14ac:dyDescent="0.25">
      <c r="A78" s="2" t="s">
        <v>178</v>
      </c>
      <c r="B78" s="3">
        <v>46131</v>
      </c>
      <c r="C78" s="2" t="s">
        <v>96</v>
      </c>
      <c r="D78" s="2" t="s">
        <v>18</v>
      </c>
      <c r="E78" s="4">
        <v>47</v>
      </c>
      <c r="F78" s="2" t="s">
        <v>40</v>
      </c>
      <c r="G78" s="2" t="s">
        <v>20</v>
      </c>
      <c r="H78" s="2" t="s">
        <v>86</v>
      </c>
      <c r="I78" s="4">
        <v>2</v>
      </c>
      <c r="J78" s="5">
        <v>10600</v>
      </c>
      <c r="K78" s="6">
        <v>0.15</v>
      </c>
      <c r="L78" s="2" t="s">
        <v>29</v>
      </c>
      <c r="M78" s="2" t="s">
        <v>56</v>
      </c>
      <c r="N78" s="5">
        <f t="shared" si="3"/>
        <v>21200</v>
      </c>
      <c r="O78" s="5">
        <f t="shared" si="4"/>
        <v>3180</v>
      </c>
      <c r="P78" s="5">
        <f t="shared" si="5"/>
        <v>18020</v>
      </c>
    </row>
    <row r="79" spans="1:16" x14ac:dyDescent="0.25">
      <c r="A79" s="2" t="s">
        <v>179</v>
      </c>
      <c r="B79" s="3">
        <v>46186</v>
      </c>
      <c r="C79" s="2" t="s">
        <v>62</v>
      </c>
      <c r="D79" s="2" t="s">
        <v>18</v>
      </c>
      <c r="E79" s="4">
        <v>47</v>
      </c>
      <c r="F79" s="2" t="s">
        <v>100</v>
      </c>
      <c r="G79" s="2" t="s">
        <v>45</v>
      </c>
      <c r="H79" s="2" t="s">
        <v>101</v>
      </c>
      <c r="I79" s="4">
        <v>6</v>
      </c>
      <c r="J79" s="5">
        <v>25000</v>
      </c>
      <c r="K79" s="6">
        <v>0.18</v>
      </c>
      <c r="L79" s="2" t="s">
        <v>29</v>
      </c>
      <c r="M79" s="2" t="s">
        <v>23</v>
      </c>
      <c r="N79" s="5">
        <f t="shared" si="3"/>
        <v>150000</v>
      </c>
      <c r="O79" s="5">
        <f t="shared" si="4"/>
        <v>27000</v>
      </c>
      <c r="P79" s="5">
        <f t="shared" si="5"/>
        <v>123000</v>
      </c>
    </row>
    <row r="80" spans="1:16" x14ac:dyDescent="0.25">
      <c r="A80" s="2" t="s">
        <v>180</v>
      </c>
      <c r="B80" s="3">
        <v>45876</v>
      </c>
      <c r="C80" s="2" t="s">
        <v>32</v>
      </c>
      <c r="D80" s="2" t="s">
        <v>33</v>
      </c>
      <c r="E80" s="4">
        <v>35</v>
      </c>
      <c r="F80" s="2" t="s">
        <v>71</v>
      </c>
      <c r="G80" s="2" t="s">
        <v>27</v>
      </c>
      <c r="H80" s="2" t="s">
        <v>81</v>
      </c>
      <c r="I80" s="4">
        <v>8</v>
      </c>
      <c r="J80" s="5">
        <v>127400</v>
      </c>
      <c r="K80" s="6">
        <v>0.02</v>
      </c>
      <c r="L80" s="2" t="s">
        <v>22</v>
      </c>
      <c r="M80" s="2" t="s">
        <v>30</v>
      </c>
      <c r="N80" s="5">
        <f t="shared" si="3"/>
        <v>1019200</v>
      </c>
      <c r="O80" s="5">
        <f t="shared" si="4"/>
        <v>20384</v>
      </c>
      <c r="P80" s="5">
        <f t="shared" si="5"/>
        <v>998816</v>
      </c>
    </row>
    <row r="81" spans="1:16" x14ac:dyDescent="0.25">
      <c r="A81" s="2" t="s">
        <v>181</v>
      </c>
      <c r="B81" s="3">
        <v>45972</v>
      </c>
      <c r="C81" s="2" t="s">
        <v>182</v>
      </c>
      <c r="D81" s="2" t="s">
        <v>18</v>
      </c>
      <c r="E81" s="4">
        <v>28</v>
      </c>
      <c r="F81" s="2" t="s">
        <v>19</v>
      </c>
      <c r="G81" s="2" t="s">
        <v>65</v>
      </c>
      <c r="H81" s="2" t="s">
        <v>66</v>
      </c>
      <c r="I81" s="4">
        <v>7</v>
      </c>
      <c r="J81" s="5">
        <v>4800</v>
      </c>
      <c r="K81" s="6">
        <v>0.02</v>
      </c>
      <c r="L81" s="2" t="s">
        <v>22</v>
      </c>
      <c r="M81" s="2" t="s">
        <v>48</v>
      </c>
      <c r="N81" s="5">
        <f t="shared" si="3"/>
        <v>33600</v>
      </c>
      <c r="O81" s="5">
        <f t="shared" si="4"/>
        <v>672</v>
      </c>
      <c r="P81" s="5">
        <f t="shared" si="5"/>
        <v>32928</v>
      </c>
    </row>
    <row r="82" spans="1:16" x14ac:dyDescent="0.25">
      <c r="A82" s="2" t="s">
        <v>183</v>
      </c>
      <c r="B82" s="3">
        <v>46086</v>
      </c>
      <c r="C82" s="2" t="s">
        <v>143</v>
      </c>
      <c r="D82" s="2" t="s">
        <v>33</v>
      </c>
      <c r="E82" s="4">
        <v>59</v>
      </c>
      <c r="F82" s="2" t="s">
        <v>26</v>
      </c>
      <c r="G82" s="2" t="s">
        <v>51</v>
      </c>
      <c r="H82" s="2" t="s">
        <v>92</v>
      </c>
      <c r="I82" s="4">
        <v>5</v>
      </c>
      <c r="J82" s="5">
        <v>23300</v>
      </c>
      <c r="K82" s="6">
        <v>0.15</v>
      </c>
      <c r="L82" s="2" t="s">
        <v>47</v>
      </c>
      <c r="M82" s="2" t="s">
        <v>23</v>
      </c>
      <c r="N82" s="5">
        <f t="shared" si="3"/>
        <v>116500</v>
      </c>
      <c r="O82" s="5">
        <f t="shared" si="4"/>
        <v>17475</v>
      </c>
      <c r="P82" s="5">
        <f t="shared" si="5"/>
        <v>99025</v>
      </c>
    </row>
    <row r="83" spans="1:16" x14ac:dyDescent="0.25">
      <c r="A83" s="2" t="s">
        <v>184</v>
      </c>
      <c r="B83" s="3">
        <v>45974</v>
      </c>
      <c r="C83" s="2" t="s">
        <v>185</v>
      </c>
      <c r="D83" s="2" t="s">
        <v>33</v>
      </c>
      <c r="E83" s="4">
        <v>53</v>
      </c>
      <c r="F83" s="2" t="s">
        <v>26</v>
      </c>
      <c r="G83" s="2" t="s">
        <v>51</v>
      </c>
      <c r="H83" s="2" t="s">
        <v>52</v>
      </c>
      <c r="I83" s="4">
        <v>9</v>
      </c>
      <c r="J83" s="5">
        <v>247100</v>
      </c>
      <c r="K83" s="6">
        <v>0.05</v>
      </c>
      <c r="L83" s="2" t="s">
        <v>22</v>
      </c>
      <c r="M83" s="2" t="s">
        <v>68</v>
      </c>
      <c r="N83" s="5">
        <f t="shared" si="3"/>
        <v>2223900</v>
      </c>
      <c r="O83" s="5">
        <f t="shared" si="4"/>
        <v>111195</v>
      </c>
      <c r="P83" s="5">
        <f t="shared" si="5"/>
        <v>2112705</v>
      </c>
    </row>
    <row r="84" spans="1:16" x14ac:dyDescent="0.25">
      <c r="A84" s="2" t="s">
        <v>186</v>
      </c>
      <c r="B84" s="3">
        <v>46062</v>
      </c>
      <c r="C84" s="2" t="s">
        <v>177</v>
      </c>
      <c r="D84" s="2" t="s">
        <v>18</v>
      </c>
      <c r="E84" s="4">
        <v>50</v>
      </c>
      <c r="F84" s="2" t="s">
        <v>19</v>
      </c>
      <c r="G84" s="2" t="s">
        <v>45</v>
      </c>
      <c r="H84" s="2" t="s">
        <v>187</v>
      </c>
      <c r="I84" s="4">
        <v>10</v>
      </c>
      <c r="J84" s="5">
        <v>99100</v>
      </c>
      <c r="K84" s="6">
        <v>0.18</v>
      </c>
      <c r="L84" s="2" t="s">
        <v>22</v>
      </c>
      <c r="M84" s="2" t="s">
        <v>23</v>
      </c>
      <c r="N84" s="5">
        <f t="shared" si="3"/>
        <v>991000</v>
      </c>
      <c r="O84" s="5">
        <f t="shared" si="4"/>
        <v>178380</v>
      </c>
      <c r="P84" s="5">
        <f t="shared" si="5"/>
        <v>812620</v>
      </c>
    </row>
    <row r="85" spans="1:16" x14ac:dyDescent="0.25">
      <c r="A85" s="2" t="s">
        <v>188</v>
      </c>
      <c r="B85" s="3">
        <v>46125</v>
      </c>
      <c r="C85" s="2" t="s">
        <v>155</v>
      </c>
      <c r="D85" s="2" t="s">
        <v>18</v>
      </c>
      <c r="E85" s="4">
        <v>40</v>
      </c>
      <c r="F85" s="2" t="s">
        <v>19</v>
      </c>
      <c r="G85" s="2" t="s">
        <v>65</v>
      </c>
      <c r="H85" s="2" t="s">
        <v>129</v>
      </c>
      <c r="I85" s="4">
        <v>6</v>
      </c>
      <c r="J85" s="5">
        <v>17500</v>
      </c>
      <c r="K85" s="6">
        <v>7.0000000000000007E-2</v>
      </c>
      <c r="L85" s="2" t="s">
        <v>29</v>
      </c>
      <c r="M85" s="2" t="s">
        <v>60</v>
      </c>
      <c r="N85" s="5">
        <f t="shared" si="3"/>
        <v>105000</v>
      </c>
      <c r="O85" s="5">
        <f t="shared" si="4"/>
        <v>7350.0000000000009</v>
      </c>
      <c r="P85" s="5">
        <f t="shared" si="5"/>
        <v>97650</v>
      </c>
    </row>
    <row r="86" spans="1:16" x14ac:dyDescent="0.25">
      <c r="A86" s="2" t="s">
        <v>189</v>
      </c>
      <c r="B86" s="3">
        <v>46142</v>
      </c>
      <c r="C86" s="2" t="s">
        <v>137</v>
      </c>
      <c r="D86" s="2" t="s">
        <v>33</v>
      </c>
      <c r="E86" s="4">
        <v>32</v>
      </c>
      <c r="F86" s="2" t="s">
        <v>100</v>
      </c>
      <c r="G86" s="2" t="s">
        <v>45</v>
      </c>
      <c r="H86" s="2" t="s">
        <v>187</v>
      </c>
      <c r="I86" s="4">
        <v>7</v>
      </c>
      <c r="J86" s="5">
        <v>122000</v>
      </c>
      <c r="K86" s="6">
        <v>0.15</v>
      </c>
      <c r="L86" s="2" t="s">
        <v>29</v>
      </c>
      <c r="M86" s="2" t="s">
        <v>94</v>
      </c>
      <c r="N86" s="5">
        <f t="shared" si="3"/>
        <v>854000</v>
      </c>
      <c r="O86" s="5">
        <f t="shared" si="4"/>
        <v>128100</v>
      </c>
      <c r="P86" s="5">
        <f t="shared" si="5"/>
        <v>725900</v>
      </c>
    </row>
    <row r="87" spans="1:16" x14ac:dyDescent="0.25">
      <c r="A87" s="2" t="s">
        <v>190</v>
      </c>
      <c r="B87" s="3">
        <v>46103</v>
      </c>
      <c r="C87" s="2" t="s">
        <v>96</v>
      </c>
      <c r="D87" s="2" t="s">
        <v>18</v>
      </c>
      <c r="E87" s="4">
        <v>26</v>
      </c>
      <c r="F87" s="2" t="s">
        <v>71</v>
      </c>
      <c r="G87" s="2" t="s">
        <v>65</v>
      </c>
      <c r="H87" s="2" t="s">
        <v>172</v>
      </c>
      <c r="I87" s="4">
        <v>2</v>
      </c>
      <c r="J87" s="5">
        <v>6600</v>
      </c>
      <c r="K87" s="6">
        <v>0.18</v>
      </c>
      <c r="L87" s="2" t="s">
        <v>22</v>
      </c>
      <c r="M87" s="2" t="s">
        <v>42</v>
      </c>
      <c r="N87" s="5">
        <f t="shared" si="3"/>
        <v>13200</v>
      </c>
      <c r="O87" s="5">
        <f t="shared" si="4"/>
        <v>2376</v>
      </c>
      <c r="P87" s="5">
        <f t="shared" si="5"/>
        <v>10824</v>
      </c>
    </row>
    <row r="88" spans="1:16" x14ac:dyDescent="0.25">
      <c r="A88" s="2" t="s">
        <v>191</v>
      </c>
      <c r="B88" s="3">
        <v>46083</v>
      </c>
      <c r="C88" s="2" t="s">
        <v>83</v>
      </c>
      <c r="D88" s="2" t="s">
        <v>33</v>
      </c>
      <c r="E88" s="4">
        <v>64</v>
      </c>
      <c r="F88" s="2" t="s">
        <v>26</v>
      </c>
      <c r="G88" s="2" t="s">
        <v>51</v>
      </c>
      <c r="H88" s="2" t="s">
        <v>52</v>
      </c>
      <c r="I88" s="4">
        <v>8</v>
      </c>
      <c r="J88" s="5">
        <v>109600</v>
      </c>
      <c r="K88" s="6">
        <v>0.1</v>
      </c>
      <c r="L88" s="2" t="s">
        <v>47</v>
      </c>
      <c r="M88" s="2" t="s">
        <v>30</v>
      </c>
      <c r="N88" s="5">
        <f t="shared" si="3"/>
        <v>876800</v>
      </c>
      <c r="O88" s="5">
        <f t="shared" si="4"/>
        <v>87680</v>
      </c>
      <c r="P88" s="5">
        <f t="shared" si="5"/>
        <v>789120</v>
      </c>
    </row>
    <row r="89" spans="1:16" x14ac:dyDescent="0.25">
      <c r="A89" s="2" t="s">
        <v>192</v>
      </c>
      <c r="B89" s="3">
        <v>46204</v>
      </c>
      <c r="C89" s="2" t="s">
        <v>116</v>
      </c>
      <c r="D89" s="2" t="s">
        <v>18</v>
      </c>
      <c r="E89" s="4">
        <v>59</v>
      </c>
      <c r="F89" s="2" t="s">
        <v>40</v>
      </c>
      <c r="G89" s="2" t="s">
        <v>20</v>
      </c>
      <c r="H89" s="2" t="s">
        <v>108</v>
      </c>
      <c r="I89" s="4">
        <v>8</v>
      </c>
      <c r="J89" s="5">
        <v>45400</v>
      </c>
      <c r="K89" s="6">
        <v>0.2</v>
      </c>
      <c r="L89" s="2" t="s">
        <v>22</v>
      </c>
      <c r="M89" s="2" t="s">
        <v>30</v>
      </c>
      <c r="N89" s="5">
        <f t="shared" si="3"/>
        <v>363200</v>
      </c>
      <c r="O89" s="5">
        <f t="shared" si="4"/>
        <v>72640</v>
      </c>
      <c r="P89" s="5">
        <f t="shared" si="5"/>
        <v>290560</v>
      </c>
    </row>
    <row r="90" spans="1:16" x14ac:dyDescent="0.25">
      <c r="A90" s="2" t="s">
        <v>193</v>
      </c>
      <c r="B90" s="3">
        <v>45885</v>
      </c>
      <c r="C90" s="2" t="s">
        <v>50</v>
      </c>
      <c r="D90" s="2" t="s">
        <v>33</v>
      </c>
      <c r="E90" s="4">
        <v>58</v>
      </c>
      <c r="F90" s="2" t="s">
        <v>34</v>
      </c>
      <c r="G90" s="2" t="s">
        <v>20</v>
      </c>
      <c r="H90" s="2" t="s">
        <v>21</v>
      </c>
      <c r="I90" s="4">
        <v>2</v>
      </c>
      <c r="J90" s="5">
        <v>3000</v>
      </c>
      <c r="K90" s="6">
        <v>0.15</v>
      </c>
      <c r="L90" s="2" t="s">
        <v>22</v>
      </c>
      <c r="M90" s="2" t="s">
        <v>48</v>
      </c>
      <c r="N90" s="5">
        <f t="shared" si="3"/>
        <v>6000</v>
      </c>
      <c r="O90" s="5">
        <f t="shared" si="4"/>
        <v>900</v>
      </c>
      <c r="P90" s="5">
        <f t="shared" si="5"/>
        <v>5100</v>
      </c>
    </row>
    <row r="91" spans="1:16" x14ac:dyDescent="0.25">
      <c r="A91" s="2" t="s">
        <v>194</v>
      </c>
      <c r="B91" s="3">
        <v>46077</v>
      </c>
      <c r="C91" s="2" t="s">
        <v>99</v>
      </c>
      <c r="D91" s="2" t="s">
        <v>18</v>
      </c>
      <c r="E91" s="4">
        <v>62</v>
      </c>
      <c r="F91" s="2" t="s">
        <v>19</v>
      </c>
      <c r="G91" s="2" t="s">
        <v>45</v>
      </c>
      <c r="H91" s="2" t="s">
        <v>46</v>
      </c>
      <c r="I91" s="4">
        <v>1</v>
      </c>
      <c r="J91" s="5">
        <v>187500</v>
      </c>
      <c r="K91" s="6">
        <v>0.1</v>
      </c>
      <c r="L91" s="2" t="s">
        <v>47</v>
      </c>
      <c r="M91" s="2" t="s">
        <v>37</v>
      </c>
      <c r="N91" s="5">
        <f t="shared" si="3"/>
        <v>187500</v>
      </c>
      <c r="O91" s="5">
        <f t="shared" si="4"/>
        <v>18750</v>
      </c>
      <c r="P91" s="5">
        <f t="shared" si="5"/>
        <v>168750</v>
      </c>
    </row>
    <row r="92" spans="1:16" x14ac:dyDescent="0.25">
      <c r="A92" s="2" t="s">
        <v>195</v>
      </c>
      <c r="B92" s="3">
        <v>46070</v>
      </c>
      <c r="C92" s="2" t="s">
        <v>89</v>
      </c>
      <c r="D92" s="2" t="s">
        <v>33</v>
      </c>
      <c r="E92" s="4">
        <v>33</v>
      </c>
      <c r="F92" s="2" t="s">
        <v>71</v>
      </c>
      <c r="G92" s="2" t="s">
        <v>51</v>
      </c>
      <c r="H92" s="2" t="s">
        <v>52</v>
      </c>
      <c r="I92" s="4">
        <v>3</v>
      </c>
      <c r="J92" s="5">
        <v>134600</v>
      </c>
      <c r="K92" s="6">
        <v>0.02</v>
      </c>
      <c r="L92" s="2" t="s">
        <v>29</v>
      </c>
      <c r="M92" s="2" t="s">
        <v>112</v>
      </c>
      <c r="N92" s="5">
        <f t="shared" si="3"/>
        <v>403800</v>
      </c>
      <c r="O92" s="5">
        <f t="shared" si="4"/>
        <v>8076</v>
      </c>
      <c r="P92" s="5">
        <f t="shared" si="5"/>
        <v>395724</v>
      </c>
    </row>
    <row r="93" spans="1:16" x14ac:dyDescent="0.25">
      <c r="A93" s="2" t="s">
        <v>196</v>
      </c>
      <c r="B93" s="3">
        <v>46167</v>
      </c>
      <c r="C93" s="2" t="s">
        <v>105</v>
      </c>
      <c r="D93" s="2" t="s">
        <v>33</v>
      </c>
      <c r="E93" s="4">
        <v>33</v>
      </c>
      <c r="F93" s="2" t="s">
        <v>100</v>
      </c>
      <c r="G93" s="2" t="s">
        <v>65</v>
      </c>
      <c r="H93" s="2" t="s">
        <v>90</v>
      </c>
      <c r="I93" s="4">
        <v>8</v>
      </c>
      <c r="J93" s="5">
        <v>15600</v>
      </c>
      <c r="K93" s="6">
        <v>0.1</v>
      </c>
      <c r="L93" s="2" t="s">
        <v>47</v>
      </c>
      <c r="M93" s="2" t="s">
        <v>68</v>
      </c>
      <c r="N93" s="5">
        <f t="shared" si="3"/>
        <v>124800</v>
      </c>
      <c r="O93" s="5">
        <f t="shared" si="4"/>
        <v>12480</v>
      </c>
      <c r="P93" s="5">
        <f t="shared" si="5"/>
        <v>112320</v>
      </c>
    </row>
    <row r="94" spans="1:16" x14ac:dyDescent="0.25">
      <c r="A94" s="2" t="s">
        <v>197</v>
      </c>
      <c r="B94" s="3">
        <v>46191</v>
      </c>
      <c r="C94" s="2" t="s">
        <v>83</v>
      </c>
      <c r="D94" s="2" t="s">
        <v>33</v>
      </c>
      <c r="E94" s="4">
        <v>47</v>
      </c>
      <c r="F94" s="2" t="s">
        <v>19</v>
      </c>
      <c r="G94" s="2" t="s">
        <v>35</v>
      </c>
      <c r="H94" s="2" t="s">
        <v>36</v>
      </c>
      <c r="I94" s="4">
        <v>8</v>
      </c>
      <c r="J94" s="5">
        <v>3200</v>
      </c>
      <c r="K94" s="6">
        <v>0.12</v>
      </c>
      <c r="L94" s="2" t="s">
        <v>29</v>
      </c>
      <c r="M94" s="2" t="s">
        <v>68</v>
      </c>
      <c r="N94" s="5">
        <f t="shared" si="3"/>
        <v>25600</v>
      </c>
      <c r="O94" s="5">
        <f t="shared" si="4"/>
        <v>3072</v>
      </c>
      <c r="P94" s="5">
        <f t="shared" si="5"/>
        <v>22528</v>
      </c>
    </row>
    <row r="95" spans="1:16" x14ac:dyDescent="0.25">
      <c r="A95" s="2" t="s">
        <v>198</v>
      </c>
      <c r="B95" s="3">
        <v>46177</v>
      </c>
      <c r="C95" s="2" t="s">
        <v>107</v>
      </c>
      <c r="D95" s="2" t="s">
        <v>33</v>
      </c>
      <c r="E95" s="4">
        <v>62</v>
      </c>
      <c r="F95" s="2" t="s">
        <v>19</v>
      </c>
      <c r="G95" s="2" t="s">
        <v>51</v>
      </c>
      <c r="H95" s="2" t="s">
        <v>92</v>
      </c>
      <c r="I95" s="4">
        <v>7</v>
      </c>
      <c r="J95" s="5">
        <v>18300</v>
      </c>
      <c r="K95" s="6">
        <v>0.18</v>
      </c>
      <c r="L95" s="2" t="s">
        <v>22</v>
      </c>
      <c r="M95" s="2" t="s">
        <v>60</v>
      </c>
      <c r="N95" s="5">
        <f t="shared" si="3"/>
        <v>128100</v>
      </c>
      <c r="O95" s="5">
        <f t="shared" si="4"/>
        <v>23058</v>
      </c>
      <c r="P95" s="5">
        <f t="shared" si="5"/>
        <v>105042</v>
      </c>
    </row>
    <row r="96" spans="1:16" x14ac:dyDescent="0.25">
      <c r="A96" s="2" t="s">
        <v>199</v>
      </c>
      <c r="B96" s="3">
        <v>46045</v>
      </c>
      <c r="C96" s="2" t="s">
        <v>118</v>
      </c>
      <c r="D96" s="2" t="s">
        <v>33</v>
      </c>
      <c r="E96" s="4">
        <v>40</v>
      </c>
      <c r="F96" s="2" t="s">
        <v>71</v>
      </c>
      <c r="G96" s="2" t="s">
        <v>20</v>
      </c>
      <c r="H96" s="2" t="s">
        <v>86</v>
      </c>
      <c r="I96" s="4">
        <v>7</v>
      </c>
      <c r="J96" s="5">
        <v>8200</v>
      </c>
      <c r="K96" s="6">
        <v>0.1</v>
      </c>
      <c r="L96" s="2" t="s">
        <v>22</v>
      </c>
      <c r="M96" s="2" t="s">
        <v>30</v>
      </c>
      <c r="N96" s="5">
        <f t="shared" si="3"/>
        <v>57400</v>
      </c>
      <c r="O96" s="5">
        <f t="shared" si="4"/>
        <v>5740</v>
      </c>
      <c r="P96" s="5">
        <f t="shared" si="5"/>
        <v>51660</v>
      </c>
    </row>
    <row r="97" spans="1:16" x14ac:dyDescent="0.25">
      <c r="A97" s="2" t="s">
        <v>200</v>
      </c>
      <c r="B97" s="3">
        <v>46201</v>
      </c>
      <c r="C97" s="2" t="s">
        <v>145</v>
      </c>
      <c r="D97" s="2" t="s">
        <v>33</v>
      </c>
      <c r="E97" s="4">
        <v>65</v>
      </c>
      <c r="F97" s="2" t="s">
        <v>40</v>
      </c>
      <c r="G97" s="2" t="s">
        <v>65</v>
      </c>
      <c r="H97" s="2" t="s">
        <v>129</v>
      </c>
      <c r="I97" s="4">
        <v>4</v>
      </c>
      <c r="J97" s="5">
        <v>14700</v>
      </c>
      <c r="K97" s="6">
        <v>0.12</v>
      </c>
      <c r="L97" s="2" t="s">
        <v>22</v>
      </c>
      <c r="M97" s="2" t="s">
        <v>60</v>
      </c>
      <c r="N97" s="5">
        <f t="shared" si="3"/>
        <v>58800</v>
      </c>
      <c r="O97" s="5">
        <f t="shared" si="4"/>
        <v>7056</v>
      </c>
      <c r="P97" s="5">
        <f t="shared" si="5"/>
        <v>51744</v>
      </c>
    </row>
    <row r="98" spans="1:16" x14ac:dyDescent="0.25">
      <c r="A98" s="2" t="s">
        <v>201</v>
      </c>
      <c r="B98" s="3">
        <v>46167</v>
      </c>
      <c r="C98" s="2" t="s">
        <v>110</v>
      </c>
      <c r="D98" s="2" t="s">
        <v>18</v>
      </c>
      <c r="E98" s="4">
        <v>61</v>
      </c>
      <c r="F98" s="2" t="s">
        <v>34</v>
      </c>
      <c r="G98" s="2" t="s">
        <v>35</v>
      </c>
      <c r="H98" s="2" t="s">
        <v>36</v>
      </c>
      <c r="I98" s="4">
        <v>2</v>
      </c>
      <c r="J98" s="5">
        <v>4300</v>
      </c>
      <c r="K98" s="6">
        <v>0</v>
      </c>
      <c r="L98" s="2" t="s">
        <v>47</v>
      </c>
      <c r="M98" s="2" t="s">
        <v>23</v>
      </c>
      <c r="N98" s="5">
        <f t="shared" si="3"/>
        <v>8600</v>
      </c>
      <c r="O98" s="5">
        <f t="shared" si="4"/>
        <v>0</v>
      </c>
      <c r="P98" s="5">
        <f t="shared" si="5"/>
        <v>8600</v>
      </c>
    </row>
    <row r="99" spans="1:16" x14ac:dyDescent="0.25">
      <c r="A99" s="2" t="s">
        <v>202</v>
      </c>
      <c r="B99" s="3">
        <v>45867</v>
      </c>
      <c r="C99" s="2" t="s">
        <v>44</v>
      </c>
      <c r="D99" s="2" t="s">
        <v>18</v>
      </c>
      <c r="E99" s="4">
        <v>41</v>
      </c>
      <c r="F99" s="2" t="s">
        <v>34</v>
      </c>
      <c r="G99" s="2" t="s">
        <v>27</v>
      </c>
      <c r="H99" s="2" t="s">
        <v>77</v>
      </c>
      <c r="I99" s="4">
        <v>5</v>
      </c>
      <c r="J99" s="5">
        <v>54800</v>
      </c>
      <c r="K99" s="6">
        <v>0.12</v>
      </c>
      <c r="L99" s="2" t="s">
        <v>29</v>
      </c>
      <c r="M99" s="2" t="s">
        <v>112</v>
      </c>
      <c r="N99" s="5">
        <f t="shared" si="3"/>
        <v>274000</v>
      </c>
      <c r="O99" s="5">
        <f t="shared" si="4"/>
        <v>32880</v>
      </c>
      <c r="P99" s="5">
        <f t="shared" si="5"/>
        <v>241120</v>
      </c>
    </row>
    <row r="100" spans="1:16" x14ac:dyDescent="0.25">
      <c r="A100" s="2" t="s">
        <v>203</v>
      </c>
      <c r="B100" s="3">
        <v>45939</v>
      </c>
      <c r="C100" s="2" t="s">
        <v>54</v>
      </c>
      <c r="D100" s="2" t="s">
        <v>33</v>
      </c>
      <c r="E100" s="4">
        <v>26</v>
      </c>
      <c r="F100" s="2" t="s">
        <v>71</v>
      </c>
      <c r="G100" s="2" t="s">
        <v>20</v>
      </c>
      <c r="H100" s="2" t="s">
        <v>86</v>
      </c>
      <c r="I100" s="4">
        <v>3</v>
      </c>
      <c r="J100" s="5">
        <v>14800</v>
      </c>
      <c r="K100" s="6">
        <v>0.1</v>
      </c>
      <c r="L100" s="2" t="s">
        <v>47</v>
      </c>
      <c r="M100" s="2" t="s">
        <v>68</v>
      </c>
      <c r="N100" s="5">
        <f t="shared" si="3"/>
        <v>44400</v>
      </c>
      <c r="O100" s="5">
        <f t="shared" si="4"/>
        <v>4440</v>
      </c>
      <c r="P100" s="5">
        <f t="shared" si="5"/>
        <v>39960</v>
      </c>
    </row>
    <row r="101" spans="1:16" x14ac:dyDescent="0.25">
      <c r="A101" s="2" t="s">
        <v>204</v>
      </c>
      <c r="B101" s="3">
        <v>46023</v>
      </c>
      <c r="C101" s="2" t="s">
        <v>143</v>
      </c>
      <c r="D101" s="2" t="s">
        <v>33</v>
      </c>
      <c r="E101" s="4">
        <v>47</v>
      </c>
      <c r="F101" s="2" t="s">
        <v>40</v>
      </c>
      <c r="G101" s="2" t="s">
        <v>27</v>
      </c>
      <c r="H101" s="2" t="s">
        <v>41</v>
      </c>
      <c r="I101" s="4">
        <v>7</v>
      </c>
      <c r="J101" s="5">
        <v>178600</v>
      </c>
      <c r="K101" s="6">
        <v>0.2</v>
      </c>
      <c r="L101" s="2" t="s">
        <v>47</v>
      </c>
      <c r="M101" s="2" t="s">
        <v>48</v>
      </c>
      <c r="N101" s="5">
        <f t="shared" si="3"/>
        <v>1250200</v>
      </c>
      <c r="O101" s="5">
        <f t="shared" si="4"/>
        <v>250040</v>
      </c>
      <c r="P101" s="5">
        <f t="shared" si="5"/>
        <v>1000160</v>
      </c>
    </row>
    <row r="102" spans="1:16" x14ac:dyDescent="0.25">
      <c r="A102" s="2" t="s">
        <v>205</v>
      </c>
      <c r="B102" s="3">
        <v>46052</v>
      </c>
      <c r="C102" s="2" t="s">
        <v>83</v>
      </c>
      <c r="D102" s="2" t="s">
        <v>33</v>
      </c>
      <c r="E102" s="4">
        <v>34</v>
      </c>
      <c r="F102" s="2" t="s">
        <v>71</v>
      </c>
      <c r="G102" s="2" t="s">
        <v>45</v>
      </c>
      <c r="H102" s="2" t="s">
        <v>59</v>
      </c>
      <c r="I102" s="4">
        <v>5</v>
      </c>
      <c r="J102" s="5">
        <v>15000</v>
      </c>
      <c r="K102" s="6">
        <v>0.15</v>
      </c>
      <c r="L102" s="2" t="s">
        <v>29</v>
      </c>
      <c r="M102" s="2" t="s">
        <v>37</v>
      </c>
      <c r="N102" s="5">
        <f t="shared" si="3"/>
        <v>75000</v>
      </c>
      <c r="O102" s="5">
        <f t="shared" si="4"/>
        <v>11250</v>
      </c>
      <c r="P102" s="5">
        <f t="shared" si="5"/>
        <v>63750</v>
      </c>
    </row>
    <row r="103" spans="1:16" x14ac:dyDescent="0.25">
      <c r="A103" s="2" t="s">
        <v>206</v>
      </c>
      <c r="B103" s="3">
        <v>45905</v>
      </c>
      <c r="C103" s="2" t="s">
        <v>105</v>
      </c>
      <c r="D103" s="2" t="s">
        <v>33</v>
      </c>
      <c r="E103" s="4">
        <v>32</v>
      </c>
      <c r="F103" s="2" t="s">
        <v>100</v>
      </c>
      <c r="G103" s="2" t="s">
        <v>45</v>
      </c>
      <c r="H103" s="2" t="s">
        <v>187</v>
      </c>
      <c r="I103" s="4">
        <v>4</v>
      </c>
      <c r="J103" s="5">
        <v>140000</v>
      </c>
      <c r="K103" s="6">
        <v>0.02</v>
      </c>
      <c r="L103" s="2" t="s">
        <v>29</v>
      </c>
      <c r="M103" s="2" t="s">
        <v>23</v>
      </c>
      <c r="N103" s="5">
        <f t="shared" si="3"/>
        <v>560000</v>
      </c>
      <c r="O103" s="5">
        <f t="shared" si="4"/>
        <v>11200</v>
      </c>
      <c r="P103" s="5">
        <f t="shared" si="5"/>
        <v>548800</v>
      </c>
    </row>
    <row r="104" spans="1:16" x14ac:dyDescent="0.25">
      <c r="A104" s="2" t="s">
        <v>207</v>
      </c>
      <c r="B104" s="3">
        <v>46208</v>
      </c>
      <c r="C104" s="2" t="s">
        <v>157</v>
      </c>
      <c r="D104" s="2" t="s">
        <v>18</v>
      </c>
      <c r="E104" s="4">
        <v>59</v>
      </c>
      <c r="F104" s="2" t="s">
        <v>100</v>
      </c>
      <c r="G104" s="2" t="s">
        <v>45</v>
      </c>
      <c r="H104" s="2" t="s">
        <v>101</v>
      </c>
      <c r="I104" s="4">
        <v>1</v>
      </c>
      <c r="J104" s="5">
        <v>9500</v>
      </c>
      <c r="K104" s="6">
        <v>0.1</v>
      </c>
      <c r="L104" s="2" t="s">
        <v>47</v>
      </c>
      <c r="M104" s="2" t="s">
        <v>48</v>
      </c>
      <c r="N104" s="5">
        <f t="shared" si="3"/>
        <v>9500</v>
      </c>
      <c r="O104" s="5">
        <f t="shared" si="4"/>
        <v>950</v>
      </c>
      <c r="P104" s="5">
        <f t="shared" si="5"/>
        <v>8550</v>
      </c>
    </row>
    <row r="105" spans="1:16" x14ac:dyDescent="0.25">
      <c r="A105" s="2" t="s">
        <v>208</v>
      </c>
      <c r="B105" s="3">
        <v>45899</v>
      </c>
      <c r="C105" s="2" t="s">
        <v>50</v>
      </c>
      <c r="D105" s="2" t="s">
        <v>33</v>
      </c>
      <c r="E105" s="4">
        <v>52</v>
      </c>
      <c r="F105" s="2" t="s">
        <v>26</v>
      </c>
      <c r="G105" s="2" t="s">
        <v>51</v>
      </c>
      <c r="H105" s="2" t="s">
        <v>120</v>
      </c>
      <c r="I105" s="4">
        <v>9</v>
      </c>
      <c r="J105" s="5">
        <v>37200</v>
      </c>
      <c r="K105" s="6">
        <v>0.15</v>
      </c>
      <c r="L105" s="2" t="s">
        <v>29</v>
      </c>
      <c r="M105" s="2" t="s">
        <v>94</v>
      </c>
      <c r="N105" s="5">
        <f t="shared" si="3"/>
        <v>334800</v>
      </c>
      <c r="O105" s="5">
        <f t="shared" si="4"/>
        <v>50220</v>
      </c>
      <c r="P105" s="5">
        <f t="shared" si="5"/>
        <v>284580</v>
      </c>
    </row>
    <row r="106" spans="1:16" x14ac:dyDescent="0.25">
      <c r="A106" s="2" t="s">
        <v>209</v>
      </c>
      <c r="B106" s="3">
        <v>46062</v>
      </c>
      <c r="C106" s="2" t="s">
        <v>58</v>
      </c>
      <c r="D106" s="2" t="s">
        <v>18</v>
      </c>
      <c r="E106" s="4">
        <v>24</v>
      </c>
      <c r="F106" s="2" t="s">
        <v>100</v>
      </c>
      <c r="G106" s="2" t="s">
        <v>65</v>
      </c>
      <c r="H106" s="2" t="s">
        <v>129</v>
      </c>
      <c r="I106" s="4">
        <v>1</v>
      </c>
      <c r="J106" s="5">
        <v>14600</v>
      </c>
      <c r="K106" s="6">
        <v>0.12</v>
      </c>
      <c r="L106" s="2" t="s">
        <v>22</v>
      </c>
      <c r="M106" s="2" t="s">
        <v>23</v>
      </c>
      <c r="N106" s="5">
        <f t="shared" si="3"/>
        <v>14600</v>
      </c>
      <c r="O106" s="5">
        <f t="shared" si="4"/>
        <v>1752</v>
      </c>
      <c r="P106" s="5">
        <f t="shared" si="5"/>
        <v>12848</v>
      </c>
    </row>
    <row r="107" spans="1:16" x14ac:dyDescent="0.25">
      <c r="A107" s="2" t="s">
        <v>210</v>
      </c>
      <c r="B107" s="3">
        <v>46077</v>
      </c>
      <c r="C107" s="2" t="s">
        <v>50</v>
      </c>
      <c r="D107" s="2" t="s">
        <v>33</v>
      </c>
      <c r="E107" s="4">
        <v>41</v>
      </c>
      <c r="F107" s="2" t="s">
        <v>40</v>
      </c>
      <c r="G107" s="2" t="s">
        <v>35</v>
      </c>
      <c r="H107" s="2" t="s">
        <v>74</v>
      </c>
      <c r="I107" s="4">
        <v>6</v>
      </c>
      <c r="J107" s="5">
        <v>4200</v>
      </c>
      <c r="K107" s="6">
        <v>0</v>
      </c>
      <c r="L107" s="2" t="s">
        <v>47</v>
      </c>
      <c r="M107" s="2" t="s">
        <v>68</v>
      </c>
      <c r="N107" s="5">
        <f t="shared" si="3"/>
        <v>25200</v>
      </c>
      <c r="O107" s="5">
        <f t="shared" si="4"/>
        <v>0</v>
      </c>
      <c r="P107" s="5">
        <f t="shared" si="5"/>
        <v>25200</v>
      </c>
    </row>
    <row r="108" spans="1:16" x14ac:dyDescent="0.25">
      <c r="A108" s="2" t="s">
        <v>211</v>
      </c>
      <c r="B108" s="3">
        <v>45947</v>
      </c>
      <c r="C108" s="2" t="s">
        <v>143</v>
      </c>
      <c r="D108" s="2" t="s">
        <v>33</v>
      </c>
      <c r="E108" s="4">
        <v>47</v>
      </c>
      <c r="F108" s="2" t="s">
        <v>40</v>
      </c>
      <c r="G108" s="2" t="s">
        <v>35</v>
      </c>
      <c r="H108" s="2" t="s">
        <v>36</v>
      </c>
      <c r="I108" s="4">
        <v>10</v>
      </c>
      <c r="J108" s="5">
        <v>4300</v>
      </c>
      <c r="K108" s="6">
        <v>0</v>
      </c>
      <c r="L108" s="2" t="s">
        <v>22</v>
      </c>
      <c r="M108" s="2" t="s">
        <v>37</v>
      </c>
      <c r="N108" s="5">
        <f t="shared" si="3"/>
        <v>43000</v>
      </c>
      <c r="O108" s="5">
        <f t="shared" si="4"/>
        <v>0</v>
      </c>
      <c r="P108" s="5">
        <f t="shared" si="5"/>
        <v>43000</v>
      </c>
    </row>
    <row r="109" spans="1:16" x14ac:dyDescent="0.25">
      <c r="A109" s="2" t="s">
        <v>212</v>
      </c>
      <c r="B109" s="3">
        <v>45974</v>
      </c>
      <c r="C109" s="2" t="s">
        <v>161</v>
      </c>
      <c r="D109" s="2" t="s">
        <v>18</v>
      </c>
      <c r="E109" s="4">
        <v>54</v>
      </c>
      <c r="F109" s="2" t="s">
        <v>26</v>
      </c>
      <c r="G109" s="2" t="s">
        <v>45</v>
      </c>
      <c r="H109" s="2" t="s">
        <v>101</v>
      </c>
      <c r="I109" s="4">
        <v>4</v>
      </c>
      <c r="J109" s="5">
        <v>15100</v>
      </c>
      <c r="K109" s="6">
        <v>0.12</v>
      </c>
      <c r="L109" s="2" t="s">
        <v>22</v>
      </c>
      <c r="M109" s="2" t="s">
        <v>30</v>
      </c>
      <c r="N109" s="5">
        <f t="shared" si="3"/>
        <v>60400</v>
      </c>
      <c r="O109" s="5">
        <f t="shared" si="4"/>
        <v>7248</v>
      </c>
      <c r="P109" s="5">
        <f t="shared" si="5"/>
        <v>53152</v>
      </c>
    </row>
    <row r="110" spans="1:16" x14ac:dyDescent="0.25">
      <c r="A110" s="2" t="s">
        <v>213</v>
      </c>
      <c r="B110" s="3">
        <v>45851</v>
      </c>
      <c r="C110" s="2" t="s">
        <v>214</v>
      </c>
      <c r="D110" s="2" t="s">
        <v>18</v>
      </c>
      <c r="E110" s="4">
        <v>27</v>
      </c>
      <c r="F110" s="2" t="s">
        <v>26</v>
      </c>
      <c r="G110" s="2" t="s">
        <v>65</v>
      </c>
      <c r="H110" s="2" t="s">
        <v>172</v>
      </c>
      <c r="I110" s="4">
        <v>3</v>
      </c>
      <c r="J110" s="5">
        <v>6300</v>
      </c>
      <c r="K110" s="6">
        <v>0.02</v>
      </c>
      <c r="L110" s="2" t="s">
        <v>29</v>
      </c>
      <c r="M110" s="2" t="s">
        <v>56</v>
      </c>
      <c r="N110" s="5">
        <f t="shared" si="3"/>
        <v>18900</v>
      </c>
      <c r="O110" s="5">
        <f t="shared" si="4"/>
        <v>378</v>
      </c>
      <c r="P110" s="5">
        <f t="shared" si="5"/>
        <v>18522</v>
      </c>
    </row>
    <row r="111" spans="1:16" x14ac:dyDescent="0.25">
      <c r="A111" s="2" t="s">
        <v>215</v>
      </c>
      <c r="B111" s="3">
        <v>45917</v>
      </c>
      <c r="C111" s="2" t="s">
        <v>83</v>
      </c>
      <c r="D111" s="2" t="s">
        <v>33</v>
      </c>
      <c r="E111" s="4">
        <v>40</v>
      </c>
      <c r="F111" s="2" t="s">
        <v>26</v>
      </c>
      <c r="G111" s="2" t="s">
        <v>65</v>
      </c>
      <c r="H111" s="2" t="s">
        <v>172</v>
      </c>
      <c r="I111" s="4">
        <v>3</v>
      </c>
      <c r="J111" s="5">
        <v>3100</v>
      </c>
      <c r="K111" s="6">
        <v>0.1</v>
      </c>
      <c r="L111" s="2" t="s">
        <v>22</v>
      </c>
      <c r="M111" s="2" t="s">
        <v>94</v>
      </c>
      <c r="N111" s="5">
        <f t="shared" si="3"/>
        <v>9300</v>
      </c>
      <c r="O111" s="5">
        <f t="shared" si="4"/>
        <v>930</v>
      </c>
      <c r="P111" s="5">
        <f t="shared" si="5"/>
        <v>8370</v>
      </c>
    </row>
    <row r="112" spans="1:16" x14ac:dyDescent="0.25">
      <c r="A112" s="2" t="s">
        <v>216</v>
      </c>
      <c r="B112" s="3">
        <v>46065</v>
      </c>
      <c r="C112" s="2" t="s">
        <v>39</v>
      </c>
      <c r="D112" s="2" t="s">
        <v>33</v>
      </c>
      <c r="E112" s="4">
        <v>25</v>
      </c>
      <c r="F112" s="2" t="s">
        <v>34</v>
      </c>
      <c r="G112" s="2" t="s">
        <v>45</v>
      </c>
      <c r="H112" s="2" t="s">
        <v>59</v>
      </c>
      <c r="I112" s="4">
        <v>6</v>
      </c>
      <c r="J112" s="5">
        <v>15700</v>
      </c>
      <c r="K112" s="6">
        <v>0.2</v>
      </c>
      <c r="L112" s="2" t="s">
        <v>29</v>
      </c>
      <c r="M112" s="2" t="s">
        <v>48</v>
      </c>
      <c r="N112" s="5">
        <f t="shared" si="3"/>
        <v>94200</v>
      </c>
      <c r="O112" s="5">
        <f t="shared" si="4"/>
        <v>18840</v>
      </c>
      <c r="P112" s="5">
        <f t="shared" si="5"/>
        <v>75360</v>
      </c>
    </row>
    <row r="113" spans="1:16" x14ac:dyDescent="0.25">
      <c r="A113" s="2" t="s">
        <v>217</v>
      </c>
      <c r="B113" s="3">
        <v>46081</v>
      </c>
      <c r="C113" s="2" t="s">
        <v>218</v>
      </c>
      <c r="D113" s="2" t="s">
        <v>33</v>
      </c>
      <c r="E113" s="4">
        <v>32</v>
      </c>
      <c r="F113" s="2" t="s">
        <v>71</v>
      </c>
      <c r="G113" s="2" t="s">
        <v>45</v>
      </c>
      <c r="H113" s="2" t="s">
        <v>187</v>
      </c>
      <c r="I113" s="4">
        <v>1</v>
      </c>
      <c r="J113" s="5">
        <v>120000</v>
      </c>
      <c r="K113" s="6">
        <v>0</v>
      </c>
      <c r="L113" s="2" t="s">
        <v>47</v>
      </c>
      <c r="M113" s="2" t="s">
        <v>112</v>
      </c>
      <c r="N113" s="5">
        <f t="shared" si="3"/>
        <v>120000</v>
      </c>
      <c r="O113" s="5">
        <f t="shared" si="4"/>
        <v>0</v>
      </c>
      <c r="P113" s="5">
        <f t="shared" si="5"/>
        <v>120000</v>
      </c>
    </row>
    <row r="114" spans="1:16" x14ac:dyDescent="0.25">
      <c r="A114" s="2" t="s">
        <v>219</v>
      </c>
      <c r="B114" s="3">
        <v>46068</v>
      </c>
      <c r="C114" s="2" t="s">
        <v>105</v>
      </c>
      <c r="D114" s="2" t="s">
        <v>33</v>
      </c>
      <c r="E114" s="4">
        <v>24</v>
      </c>
      <c r="F114" s="2" t="s">
        <v>100</v>
      </c>
      <c r="G114" s="2" t="s">
        <v>35</v>
      </c>
      <c r="H114" s="2" t="s">
        <v>55</v>
      </c>
      <c r="I114" s="4">
        <v>2</v>
      </c>
      <c r="J114" s="5">
        <v>3800</v>
      </c>
      <c r="K114" s="6">
        <v>0.12</v>
      </c>
      <c r="L114" s="2" t="s">
        <v>29</v>
      </c>
      <c r="M114" s="2" t="s">
        <v>94</v>
      </c>
      <c r="N114" s="5">
        <f t="shared" si="3"/>
        <v>7600</v>
      </c>
      <c r="O114" s="5">
        <f t="shared" si="4"/>
        <v>912</v>
      </c>
      <c r="P114" s="5">
        <f t="shared" si="5"/>
        <v>6688</v>
      </c>
    </row>
    <row r="115" spans="1:16" x14ac:dyDescent="0.25">
      <c r="A115" s="2" t="s">
        <v>220</v>
      </c>
      <c r="B115" s="3">
        <v>45883</v>
      </c>
      <c r="C115" s="2" t="s">
        <v>161</v>
      </c>
      <c r="D115" s="2" t="s">
        <v>18</v>
      </c>
      <c r="E115" s="4">
        <v>35</v>
      </c>
      <c r="F115" s="2" t="s">
        <v>71</v>
      </c>
      <c r="G115" s="2" t="s">
        <v>35</v>
      </c>
      <c r="H115" s="2" t="s">
        <v>74</v>
      </c>
      <c r="I115" s="4">
        <v>10</v>
      </c>
      <c r="J115" s="5">
        <v>3600</v>
      </c>
      <c r="K115" s="6">
        <v>0.2</v>
      </c>
      <c r="L115" s="2" t="s">
        <v>47</v>
      </c>
      <c r="M115" s="2" t="s">
        <v>23</v>
      </c>
      <c r="N115" s="5">
        <f t="shared" si="3"/>
        <v>36000</v>
      </c>
      <c r="O115" s="5">
        <f t="shared" si="4"/>
        <v>7200</v>
      </c>
      <c r="P115" s="5">
        <f t="shared" si="5"/>
        <v>28800</v>
      </c>
    </row>
    <row r="116" spans="1:16" x14ac:dyDescent="0.25">
      <c r="A116" s="2" t="s">
        <v>221</v>
      </c>
      <c r="B116" s="3">
        <v>46108</v>
      </c>
      <c r="C116" s="2" t="s">
        <v>128</v>
      </c>
      <c r="D116" s="2" t="s">
        <v>33</v>
      </c>
      <c r="E116" s="4">
        <v>45</v>
      </c>
      <c r="F116" s="2" t="s">
        <v>40</v>
      </c>
      <c r="G116" s="2" t="s">
        <v>35</v>
      </c>
      <c r="H116" s="2" t="s">
        <v>125</v>
      </c>
      <c r="I116" s="4">
        <v>9</v>
      </c>
      <c r="J116" s="5">
        <v>2400</v>
      </c>
      <c r="K116" s="6">
        <v>7.0000000000000007E-2</v>
      </c>
      <c r="L116" s="2" t="s">
        <v>47</v>
      </c>
      <c r="M116" s="2" t="s">
        <v>23</v>
      </c>
      <c r="N116" s="5">
        <f t="shared" si="3"/>
        <v>21600</v>
      </c>
      <c r="O116" s="5">
        <f t="shared" si="4"/>
        <v>1512.0000000000002</v>
      </c>
      <c r="P116" s="5">
        <f t="shared" si="5"/>
        <v>20088</v>
      </c>
    </row>
    <row r="117" spans="1:16" x14ac:dyDescent="0.25">
      <c r="A117" s="2" t="s">
        <v>222</v>
      </c>
      <c r="B117" s="3">
        <v>45966</v>
      </c>
      <c r="C117" s="2" t="s">
        <v>223</v>
      </c>
      <c r="D117" s="2" t="s">
        <v>33</v>
      </c>
      <c r="E117" s="4">
        <v>39</v>
      </c>
      <c r="F117" s="2" t="s">
        <v>100</v>
      </c>
      <c r="G117" s="2" t="s">
        <v>51</v>
      </c>
      <c r="H117" s="2" t="s">
        <v>120</v>
      </c>
      <c r="I117" s="4">
        <v>6</v>
      </c>
      <c r="J117" s="5">
        <v>28100</v>
      </c>
      <c r="K117" s="6">
        <v>0.15</v>
      </c>
      <c r="L117" s="2" t="s">
        <v>47</v>
      </c>
      <c r="M117" s="2" t="s">
        <v>68</v>
      </c>
      <c r="N117" s="5">
        <f t="shared" si="3"/>
        <v>168600</v>
      </c>
      <c r="O117" s="5">
        <f t="shared" si="4"/>
        <v>25290</v>
      </c>
      <c r="P117" s="5">
        <f t="shared" si="5"/>
        <v>143310</v>
      </c>
    </row>
    <row r="118" spans="1:16" x14ac:dyDescent="0.25">
      <c r="A118" s="2" t="s">
        <v>224</v>
      </c>
      <c r="B118" s="3">
        <v>46041</v>
      </c>
      <c r="C118" s="2" t="s">
        <v>89</v>
      </c>
      <c r="D118" s="2" t="s">
        <v>33</v>
      </c>
      <c r="E118" s="4">
        <v>61</v>
      </c>
      <c r="F118" s="2" t="s">
        <v>100</v>
      </c>
      <c r="G118" s="2" t="s">
        <v>45</v>
      </c>
      <c r="H118" s="2" t="s">
        <v>46</v>
      </c>
      <c r="I118" s="4">
        <v>2</v>
      </c>
      <c r="J118" s="5">
        <v>156200</v>
      </c>
      <c r="K118" s="6">
        <v>0.15</v>
      </c>
      <c r="L118" s="2" t="s">
        <v>22</v>
      </c>
      <c r="M118" s="2" t="s">
        <v>37</v>
      </c>
      <c r="N118" s="5">
        <f t="shared" si="3"/>
        <v>312400</v>
      </c>
      <c r="O118" s="5">
        <f t="shared" si="4"/>
        <v>46860</v>
      </c>
      <c r="P118" s="5">
        <f t="shared" si="5"/>
        <v>265540</v>
      </c>
    </row>
    <row r="119" spans="1:16" x14ac:dyDescent="0.25">
      <c r="A119" s="2" t="s">
        <v>225</v>
      </c>
      <c r="B119" s="3">
        <v>45916</v>
      </c>
      <c r="C119" s="2" t="s">
        <v>168</v>
      </c>
      <c r="D119" s="2" t="s">
        <v>33</v>
      </c>
      <c r="E119" s="4">
        <v>21</v>
      </c>
      <c r="F119" s="2" t="s">
        <v>71</v>
      </c>
      <c r="G119" s="2" t="s">
        <v>65</v>
      </c>
      <c r="H119" s="2" t="s">
        <v>172</v>
      </c>
      <c r="I119" s="4">
        <v>2</v>
      </c>
      <c r="J119" s="5">
        <v>5700</v>
      </c>
      <c r="K119" s="6">
        <v>0.15</v>
      </c>
      <c r="L119" s="2" t="s">
        <v>47</v>
      </c>
      <c r="M119" s="2" t="s">
        <v>112</v>
      </c>
      <c r="N119" s="5">
        <f t="shared" si="3"/>
        <v>11400</v>
      </c>
      <c r="O119" s="5">
        <f t="shared" si="4"/>
        <v>1710</v>
      </c>
      <c r="P119" s="5">
        <f t="shared" si="5"/>
        <v>9690</v>
      </c>
    </row>
    <row r="120" spans="1:16" x14ac:dyDescent="0.25">
      <c r="A120" s="2" t="s">
        <v>226</v>
      </c>
      <c r="B120" s="3">
        <v>45876</v>
      </c>
      <c r="C120" s="2" t="s">
        <v>132</v>
      </c>
      <c r="D120" s="2" t="s">
        <v>33</v>
      </c>
      <c r="E120" s="4">
        <v>56</v>
      </c>
      <c r="F120" s="2" t="s">
        <v>19</v>
      </c>
      <c r="G120" s="2" t="s">
        <v>20</v>
      </c>
      <c r="H120" s="2" t="s">
        <v>114</v>
      </c>
      <c r="I120" s="4">
        <v>9</v>
      </c>
      <c r="J120" s="5">
        <v>3700</v>
      </c>
      <c r="K120" s="6">
        <v>7.0000000000000007E-2</v>
      </c>
      <c r="L120" s="2" t="s">
        <v>22</v>
      </c>
      <c r="M120" s="2" t="s">
        <v>23</v>
      </c>
      <c r="N120" s="5">
        <f t="shared" si="3"/>
        <v>33300</v>
      </c>
      <c r="O120" s="5">
        <f t="shared" si="4"/>
        <v>2331</v>
      </c>
      <c r="P120" s="5">
        <f t="shared" si="5"/>
        <v>30969</v>
      </c>
    </row>
    <row r="121" spans="1:16" x14ac:dyDescent="0.25">
      <c r="A121" s="2" t="s">
        <v>227</v>
      </c>
      <c r="B121" s="3">
        <v>45964</v>
      </c>
      <c r="C121" s="2" t="s">
        <v>64</v>
      </c>
      <c r="D121" s="2" t="s">
        <v>33</v>
      </c>
      <c r="E121" s="4">
        <v>40</v>
      </c>
      <c r="F121" s="2" t="s">
        <v>71</v>
      </c>
      <c r="G121" s="2" t="s">
        <v>20</v>
      </c>
      <c r="H121" s="2" t="s">
        <v>114</v>
      </c>
      <c r="I121" s="4">
        <v>10</v>
      </c>
      <c r="J121" s="5">
        <v>3100</v>
      </c>
      <c r="K121" s="6">
        <v>7.0000000000000007E-2</v>
      </c>
      <c r="L121" s="2" t="s">
        <v>47</v>
      </c>
      <c r="M121" s="2" t="s">
        <v>42</v>
      </c>
      <c r="N121" s="5">
        <f t="shared" si="3"/>
        <v>31000</v>
      </c>
      <c r="O121" s="5">
        <f t="shared" si="4"/>
        <v>2170</v>
      </c>
      <c r="P121" s="5">
        <f t="shared" si="5"/>
        <v>28830</v>
      </c>
    </row>
    <row r="122" spans="1:16" x14ac:dyDescent="0.25">
      <c r="A122" s="2" t="s">
        <v>228</v>
      </c>
      <c r="B122" s="3">
        <v>46168</v>
      </c>
      <c r="C122" s="2" t="s">
        <v>229</v>
      </c>
      <c r="D122" s="2" t="s">
        <v>18</v>
      </c>
      <c r="E122" s="4">
        <v>61</v>
      </c>
      <c r="F122" s="2" t="s">
        <v>34</v>
      </c>
      <c r="G122" s="2" t="s">
        <v>65</v>
      </c>
      <c r="H122" s="2" t="s">
        <v>66</v>
      </c>
      <c r="I122" s="4">
        <v>5</v>
      </c>
      <c r="J122" s="5">
        <v>5000</v>
      </c>
      <c r="K122" s="6">
        <v>0</v>
      </c>
      <c r="L122" s="2" t="s">
        <v>22</v>
      </c>
      <c r="M122" s="2" t="s">
        <v>68</v>
      </c>
      <c r="N122" s="5">
        <f t="shared" si="3"/>
        <v>25000</v>
      </c>
      <c r="O122" s="5">
        <f t="shared" si="4"/>
        <v>0</v>
      </c>
      <c r="P122" s="5">
        <f t="shared" si="5"/>
        <v>25000</v>
      </c>
    </row>
    <row r="123" spans="1:16" x14ac:dyDescent="0.25">
      <c r="A123" s="2" t="s">
        <v>230</v>
      </c>
      <c r="B123" s="3">
        <v>46209</v>
      </c>
      <c r="C123" s="2" t="s">
        <v>25</v>
      </c>
      <c r="D123" s="2" t="s">
        <v>18</v>
      </c>
      <c r="E123" s="4">
        <v>37</v>
      </c>
      <c r="F123" s="2" t="s">
        <v>19</v>
      </c>
      <c r="G123" s="2" t="s">
        <v>20</v>
      </c>
      <c r="H123" s="2" t="s">
        <v>114</v>
      </c>
      <c r="I123" s="4">
        <v>3</v>
      </c>
      <c r="J123" s="5">
        <v>2900</v>
      </c>
      <c r="K123" s="6">
        <v>0.15</v>
      </c>
      <c r="L123" s="2" t="s">
        <v>22</v>
      </c>
      <c r="M123" s="2" t="s">
        <v>94</v>
      </c>
      <c r="N123" s="5">
        <f t="shared" si="3"/>
        <v>8700</v>
      </c>
      <c r="O123" s="5">
        <f t="shared" si="4"/>
        <v>1305</v>
      </c>
      <c r="P123" s="5">
        <f t="shared" si="5"/>
        <v>7395</v>
      </c>
    </row>
    <row r="124" spans="1:16" x14ac:dyDescent="0.25">
      <c r="A124" s="2" t="s">
        <v>231</v>
      </c>
      <c r="B124" s="3">
        <v>46174</v>
      </c>
      <c r="C124" s="2" t="s">
        <v>17</v>
      </c>
      <c r="D124" s="2" t="s">
        <v>18</v>
      </c>
      <c r="E124" s="4">
        <v>23</v>
      </c>
      <c r="F124" s="2" t="s">
        <v>34</v>
      </c>
      <c r="G124" s="2" t="s">
        <v>65</v>
      </c>
      <c r="H124" s="2" t="s">
        <v>90</v>
      </c>
      <c r="I124" s="4">
        <v>7</v>
      </c>
      <c r="J124" s="5">
        <v>20300</v>
      </c>
      <c r="K124" s="6">
        <v>0.18</v>
      </c>
      <c r="L124" s="2" t="s">
        <v>47</v>
      </c>
      <c r="M124" s="2" t="s">
        <v>94</v>
      </c>
      <c r="N124" s="5">
        <f t="shared" si="3"/>
        <v>142100</v>
      </c>
      <c r="O124" s="5">
        <f t="shared" si="4"/>
        <v>25578</v>
      </c>
      <c r="P124" s="5">
        <f t="shared" si="5"/>
        <v>116522</v>
      </c>
    </row>
    <row r="125" spans="1:16" x14ac:dyDescent="0.25">
      <c r="A125" s="2" t="s">
        <v>232</v>
      </c>
      <c r="B125" s="3">
        <v>46039</v>
      </c>
      <c r="C125" s="2" t="s">
        <v>157</v>
      </c>
      <c r="D125" s="2" t="s">
        <v>18</v>
      </c>
      <c r="E125" s="4">
        <v>64</v>
      </c>
      <c r="F125" s="2" t="s">
        <v>19</v>
      </c>
      <c r="G125" s="2" t="s">
        <v>65</v>
      </c>
      <c r="H125" s="2" t="s">
        <v>66</v>
      </c>
      <c r="I125" s="4">
        <v>3</v>
      </c>
      <c r="J125" s="5">
        <v>2700</v>
      </c>
      <c r="K125" s="6">
        <v>0.05</v>
      </c>
      <c r="L125" s="2" t="s">
        <v>29</v>
      </c>
      <c r="M125" s="2" t="s">
        <v>56</v>
      </c>
      <c r="N125" s="5">
        <f t="shared" si="3"/>
        <v>8100</v>
      </c>
      <c r="O125" s="5">
        <f t="shared" si="4"/>
        <v>405</v>
      </c>
      <c r="P125" s="5">
        <f t="shared" si="5"/>
        <v>7695</v>
      </c>
    </row>
    <row r="126" spans="1:16" x14ac:dyDescent="0.25">
      <c r="A126" s="2" t="s">
        <v>233</v>
      </c>
      <c r="B126" s="3">
        <v>46195</v>
      </c>
      <c r="C126" s="2" t="s">
        <v>122</v>
      </c>
      <c r="D126" s="2" t="s">
        <v>33</v>
      </c>
      <c r="E126" s="4">
        <v>35</v>
      </c>
      <c r="F126" s="2" t="s">
        <v>100</v>
      </c>
      <c r="G126" s="2" t="s">
        <v>35</v>
      </c>
      <c r="H126" s="2" t="s">
        <v>55</v>
      </c>
      <c r="I126" s="4">
        <v>10</v>
      </c>
      <c r="J126" s="5">
        <v>5500</v>
      </c>
      <c r="K126" s="6">
        <v>0.18</v>
      </c>
      <c r="L126" s="2" t="s">
        <v>47</v>
      </c>
      <c r="M126" s="2" t="s">
        <v>68</v>
      </c>
      <c r="N126" s="5">
        <f t="shared" si="3"/>
        <v>55000</v>
      </c>
      <c r="O126" s="5">
        <f t="shared" si="4"/>
        <v>9900</v>
      </c>
      <c r="P126" s="5">
        <f t="shared" si="5"/>
        <v>45100</v>
      </c>
    </row>
    <row r="127" spans="1:16" x14ac:dyDescent="0.25">
      <c r="A127" s="2" t="s">
        <v>234</v>
      </c>
      <c r="B127" s="3">
        <v>45960</v>
      </c>
      <c r="C127" s="2" t="s">
        <v>25</v>
      </c>
      <c r="D127" s="2" t="s">
        <v>18</v>
      </c>
      <c r="E127" s="4">
        <v>50</v>
      </c>
      <c r="F127" s="2" t="s">
        <v>40</v>
      </c>
      <c r="G127" s="2" t="s">
        <v>20</v>
      </c>
      <c r="H127" s="2" t="s">
        <v>108</v>
      </c>
      <c r="I127" s="4">
        <v>5</v>
      </c>
      <c r="J127" s="5">
        <v>38600</v>
      </c>
      <c r="K127" s="6">
        <v>0.18</v>
      </c>
      <c r="L127" s="2" t="s">
        <v>29</v>
      </c>
      <c r="M127" s="2" t="s">
        <v>68</v>
      </c>
      <c r="N127" s="5">
        <f t="shared" si="3"/>
        <v>193000</v>
      </c>
      <c r="O127" s="5">
        <f t="shared" si="4"/>
        <v>34740</v>
      </c>
      <c r="P127" s="5">
        <f t="shared" si="5"/>
        <v>158260</v>
      </c>
    </row>
    <row r="128" spans="1:16" x14ac:dyDescent="0.25">
      <c r="A128" s="2" t="s">
        <v>235</v>
      </c>
      <c r="B128" s="3">
        <v>45873</v>
      </c>
      <c r="C128" s="2" t="s">
        <v>165</v>
      </c>
      <c r="D128" s="2" t="s">
        <v>33</v>
      </c>
      <c r="E128" s="4">
        <v>43</v>
      </c>
      <c r="F128" s="2" t="s">
        <v>71</v>
      </c>
      <c r="G128" s="2" t="s">
        <v>45</v>
      </c>
      <c r="H128" s="2" t="s">
        <v>46</v>
      </c>
      <c r="I128" s="4">
        <v>5</v>
      </c>
      <c r="J128" s="5">
        <v>171800</v>
      </c>
      <c r="K128" s="6">
        <v>7.0000000000000007E-2</v>
      </c>
      <c r="L128" s="2" t="s">
        <v>22</v>
      </c>
      <c r="M128" s="2" t="s">
        <v>68</v>
      </c>
      <c r="N128" s="5">
        <f t="shared" si="3"/>
        <v>859000</v>
      </c>
      <c r="O128" s="5">
        <f t="shared" si="4"/>
        <v>60130.000000000007</v>
      </c>
      <c r="P128" s="5">
        <f t="shared" si="5"/>
        <v>798870</v>
      </c>
    </row>
    <row r="129" spans="1:16" x14ac:dyDescent="0.25">
      <c r="A129" s="2" t="s">
        <v>236</v>
      </c>
      <c r="B129" s="3">
        <v>45998</v>
      </c>
      <c r="C129" s="2" t="s">
        <v>237</v>
      </c>
      <c r="D129" s="2" t="s">
        <v>18</v>
      </c>
      <c r="E129" s="4">
        <v>25</v>
      </c>
      <c r="F129" s="2" t="s">
        <v>40</v>
      </c>
      <c r="G129" s="2" t="s">
        <v>51</v>
      </c>
      <c r="H129" s="2" t="s">
        <v>120</v>
      </c>
      <c r="I129" s="4">
        <v>3</v>
      </c>
      <c r="J129" s="5">
        <v>30800</v>
      </c>
      <c r="K129" s="6">
        <v>0.15</v>
      </c>
      <c r="L129" s="2" t="s">
        <v>29</v>
      </c>
      <c r="M129" s="2" t="s">
        <v>60</v>
      </c>
      <c r="N129" s="5">
        <f t="shared" si="3"/>
        <v>92400</v>
      </c>
      <c r="O129" s="5">
        <f t="shared" si="4"/>
        <v>13860</v>
      </c>
      <c r="P129" s="5">
        <f t="shared" si="5"/>
        <v>78540</v>
      </c>
    </row>
    <row r="130" spans="1:16" x14ac:dyDescent="0.25">
      <c r="A130" s="2" t="s">
        <v>238</v>
      </c>
      <c r="B130" s="3">
        <v>46106</v>
      </c>
      <c r="C130" s="2" t="s">
        <v>168</v>
      </c>
      <c r="D130" s="2" t="s">
        <v>33</v>
      </c>
      <c r="E130" s="4">
        <v>60</v>
      </c>
      <c r="F130" s="2" t="s">
        <v>19</v>
      </c>
      <c r="G130" s="2" t="s">
        <v>45</v>
      </c>
      <c r="H130" s="2" t="s">
        <v>59</v>
      </c>
      <c r="I130" s="4">
        <v>1</v>
      </c>
      <c r="J130" s="5">
        <v>19100</v>
      </c>
      <c r="K130" s="6">
        <v>0.15</v>
      </c>
      <c r="L130" s="2" t="s">
        <v>22</v>
      </c>
      <c r="M130" s="2" t="s">
        <v>23</v>
      </c>
      <c r="N130" s="5">
        <f t="shared" ref="N130:N193" si="6">I130*J130</f>
        <v>19100</v>
      </c>
      <c r="O130" s="5">
        <f t="shared" ref="O130:O193" si="7">N130*K130</f>
        <v>2865</v>
      </c>
      <c r="P130" s="5">
        <f t="shared" ref="P130:P193" si="8">N130-O130</f>
        <v>16235</v>
      </c>
    </row>
    <row r="131" spans="1:16" x14ac:dyDescent="0.25">
      <c r="A131" s="2" t="s">
        <v>239</v>
      </c>
      <c r="B131" s="3">
        <v>45889</v>
      </c>
      <c r="C131" s="2" t="s">
        <v>237</v>
      </c>
      <c r="D131" s="2" t="s">
        <v>18</v>
      </c>
      <c r="E131" s="4">
        <v>54</v>
      </c>
      <c r="F131" s="2" t="s">
        <v>100</v>
      </c>
      <c r="G131" s="2" t="s">
        <v>65</v>
      </c>
      <c r="H131" s="2" t="s">
        <v>129</v>
      </c>
      <c r="I131" s="4">
        <v>7</v>
      </c>
      <c r="J131" s="5">
        <v>21600</v>
      </c>
      <c r="K131" s="6">
        <v>0.1</v>
      </c>
      <c r="L131" s="2" t="s">
        <v>22</v>
      </c>
      <c r="M131" s="2" t="s">
        <v>112</v>
      </c>
      <c r="N131" s="5">
        <f t="shared" si="6"/>
        <v>151200</v>
      </c>
      <c r="O131" s="5">
        <f t="shared" si="7"/>
        <v>15120</v>
      </c>
      <c r="P131" s="5">
        <f t="shared" si="8"/>
        <v>136080</v>
      </c>
    </row>
    <row r="132" spans="1:16" x14ac:dyDescent="0.25">
      <c r="A132" s="2" t="s">
        <v>240</v>
      </c>
      <c r="B132" s="3">
        <v>45860</v>
      </c>
      <c r="C132" s="2" t="s">
        <v>237</v>
      </c>
      <c r="D132" s="2" t="s">
        <v>18</v>
      </c>
      <c r="E132" s="4">
        <v>28</v>
      </c>
      <c r="F132" s="2" t="s">
        <v>71</v>
      </c>
      <c r="G132" s="2" t="s">
        <v>51</v>
      </c>
      <c r="H132" s="2" t="s">
        <v>92</v>
      </c>
      <c r="I132" s="4">
        <v>7</v>
      </c>
      <c r="J132" s="5">
        <v>16400</v>
      </c>
      <c r="K132" s="6">
        <v>0.02</v>
      </c>
      <c r="L132" s="2" t="s">
        <v>22</v>
      </c>
      <c r="M132" s="2" t="s">
        <v>112</v>
      </c>
      <c r="N132" s="5">
        <f t="shared" si="6"/>
        <v>114800</v>
      </c>
      <c r="O132" s="5">
        <f t="shared" si="7"/>
        <v>2296</v>
      </c>
      <c r="P132" s="5">
        <f t="shared" si="8"/>
        <v>112504</v>
      </c>
    </row>
    <row r="133" spans="1:16" x14ac:dyDescent="0.25">
      <c r="A133" s="2" t="s">
        <v>241</v>
      </c>
      <c r="B133" s="3">
        <v>46151</v>
      </c>
      <c r="C133" s="2" t="s">
        <v>116</v>
      </c>
      <c r="D133" s="2" t="s">
        <v>18</v>
      </c>
      <c r="E133" s="4">
        <v>51</v>
      </c>
      <c r="F133" s="2" t="s">
        <v>40</v>
      </c>
      <c r="G133" s="2" t="s">
        <v>51</v>
      </c>
      <c r="H133" s="2" t="s">
        <v>92</v>
      </c>
      <c r="I133" s="4">
        <v>6</v>
      </c>
      <c r="J133" s="5">
        <v>27200</v>
      </c>
      <c r="K133" s="6">
        <v>7.0000000000000007E-2</v>
      </c>
      <c r="L133" s="2" t="s">
        <v>47</v>
      </c>
      <c r="M133" s="2" t="s">
        <v>94</v>
      </c>
      <c r="N133" s="5">
        <f t="shared" si="6"/>
        <v>163200</v>
      </c>
      <c r="O133" s="5">
        <f t="shared" si="7"/>
        <v>11424.000000000002</v>
      </c>
      <c r="P133" s="5">
        <f t="shared" si="8"/>
        <v>151776</v>
      </c>
    </row>
    <row r="134" spans="1:16" x14ac:dyDescent="0.25">
      <c r="A134" s="2" t="s">
        <v>242</v>
      </c>
      <c r="B134" s="3">
        <v>45889</v>
      </c>
      <c r="C134" s="2" t="s">
        <v>218</v>
      </c>
      <c r="D134" s="2" t="s">
        <v>33</v>
      </c>
      <c r="E134" s="4">
        <v>58</v>
      </c>
      <c r="F134" s="2" t="s">
        <v>40</v>
      </c>
      <c r="G134" s="2" t="s">
        <v>65</v>
      </c>
      <c r="H134" s="2" t="s">
        <v>90</v>
      </c>
      <c r="I134" s="4">
        <v>6</v>
      </c>
      <c r="J134" s="5">
        <v>19400</v>
      </c>
      <c r="K134" s="6">
        <v>0.05</v>
      </c>
      <c r="L134" s="2" t="s">
        <v>22</v>
      </c>
      <c r="M134" s="2" t="s">
        <v>48</v>
      </c>
      <c r="N134" s="5">
        <f t="shared" si="6"/>
        <v>116400</v>
      </c>
      <c r="O134" s="5">
        <f t="shared" si="7"/>
        <v>5820</v>
      </c>
      <c r="P134" s="5">
        <f t="shared" si="8"/>
        <v>110580</v>
      </c>
    </row>
    <row r="135" spans="1:16" x14ac:dyDescent="0.25">
      <c r="A135" s="2" t="s">
        <v>243</v>
      </c>
      <c r="B135" s="3">
        <v>45924</v>
      </c>
      <c r="C135" s="2" t="s">
        <v>110</v>
      </c>
      <c r="D135" s="2" t="s">
        <v>18</v>
      </c>
      <c r="E135" s="4">
        <v>30</v>
      </c>
      <c r="F135" s="2" t="s">
        <v>26</v>
      </c>
      <c r="G135" s="2" t="s">
        <v>65</v>
      </c>
      <c r="H135" s="2" t="s">
        <v>90</v>
      </c>
      <c r="I135" s="4">
        <v>3</v>
      </c>
      <c r="J135" s="5">
        <v>10500</v>
      </c>
      <c r="K135" s="6">
        <v>0.18</v>
      </c>
      <c r="L135" s="2" t="s">
        <v>47</v>
      </c>
      <c r="M135" s="2" t="s">
        <v>30</v>
      </c>
      <c r="N135" s="5">
        <f t="shared" si="6"/>
        <v>31500</v>
      </c>
      <c r="O135" s="5">
        <f t="shared" si="7"/>
        <v>5670</v>
      </c>
      <c r="P135" s="5">
        <f t="shared" si="8"/>
        <v>25830</v>
      </c>
    </row>
    <row r="136" spans="1:16" x14ac:dyDescent="0.25">
      <c r="A136" s="2" t="s">
        <v>244</v>
      </c>
      <c r="B136" s="3">
        <v>46146</v>
      </c>
      <c r="C136" s="2" t="s">
        <v>245</v>
      </c>
      <c r="D136" s="2" t="s">
        <v>33</v>
      </c>
      <c r="E136" s="4">
        <v>61</v>
      </c>
      <c r="F136" s="2" t="s">
        <v>71</v>
      </c>
      <c r="G136" s="2" t="s">
        <v>35</v>
      </c>
      <c r="H136" s="2" t="s">
        <v>74</v>
      </c>
      <c r="I136" s="4">
        <v>3</v>
      </c>
      <c r="J136" s="5">
        <v>3300</v>
      </c>
      <c r="K136" s="6">
        <v>0.18</v>
      </c>
      <c r="L136" s="2" t="s">
        <v>22</v>
      </c>
      <c r="M136" s="2" t="s">
        <v>23</v>
      </c>
      <c r="N136" s="5">
        <f t="shared" si="6"/>
        <v>9900</v>
      </c>
      <c r="O136" s="5">
        <f t="shared" si="7"/>
        <v>1782</v>
      </c>
      <c r="P136" s="5">
        <f t="shared" si="8"/>
        <v>8118</v>
      </c>
    </row>
    <row r="137" spans="1:16" x14ac:dyDescent="0.25">
      <c r="A137" s="2" t="s">
        <v>246</v>
      </c>
      <c r="B137" s="3">
        <v>46076</v>
      </c>
      <c r="C137" s="2" t="s">
        <v>247</v>
      </c>
      <c r="D137" s="2" t="s">
        <v>33</v>
      </c>
      <c r="E137" s="4">
        <v>37</v>
      </c>
      <c r="F137" s="2" t="s">
        <v>19</v>
      </c>
      <c r="G137" s="2" t="s">
        <v>65</v>
      </c>
      <c r="H137" s="2" t="s">
        <v>66</v>
      </c>
      <c r="I137" s="4">
        <v>9</v>
      </c>
      <c r="J137" s="5">
        <v>3900</v>
      </c>
      <c r="K137" s="6">
        <v>0.02</v>
      </c>
      <c r="L137" s="2" t="s">
        <v>47</v>
      </c>
      <c r="M137" s="2" t="s">
        <v>23</v>
      </c>
      <c r="N137" s="5">
        <f t="shared" si="6"/>
        <v>35100</v>
      </c>
      <c r="O137" s="5">
        <f t="shared" si="7"/>
        <v>702</v>
      </c>
      <c r="P137" s="5">
        <f t="shared" si="8"/>
        <v>34398</v>
      </c>
    </row>
    <row r="138" spans="1:16" x14ac:dyDescent="0.25">
      <c r="A138" s="2" t="s">
        <v>248</v>
      </c>
      <c r="B138" s="3">
        <v>46081</v>
      </c>
      <c r="C138" s="2" t="s">
        <v>96</v>
      </c>
      <c r="D138" s="2" t="s">
        <v>18</v>
      </c>
      <c r="E138" s="4">
        <v>21</v>
      </c>
      <c r="F138" s="2" t="s">
        <v>19</v>
      </c>
      <c r="G138" s="2" t="s">
        <v>20</v>
      </c>
      <c r="H138" s="2" t="s">
        <v>114</v>
      </c>
      <c r="I138" s="4">
        <v>2</v>
      </c>
      <c r="J138" s="5">
        <v>3800</v>
      </c>
      <c r="K138" s="6">
        <v>0.2</v>
      </c>
      <c r="L138" s="2" t="s">
        <v>47</v>
      </c>
      <c r="M138" s="2" t="s">
        <v>23</v>
      </c>
      <c r="N138" s="5">
        <f t="shared" si="6"/>
        <v>7600</v>
      </c>
      <c r="O138" s="5">
        <f t="shared" si="7"/>
        <v>1520</v>
      </c>
      <c r="P138" s="5">
        <f t="shared" si="8"/>
        <v>6080</v>
      </c>
    </row>
    <row r="139" spans="1:16" x14ac:dyDescent="0.25">
      <c r="A139" s="2" t="s">
        <v>249</v>
      </c>
      <c r="B139" s="3">
        <v>46147</v>
      </c>
      <c r="C139" s="2" t="s">
        <v>168</v>
      </c>
      <c r="D139" s="2" t="s">
        <v>33</v>
      </c>
      <c r="E139" s="4">
        <v>65</v>
      </c>
      <c r="F139" s="2" t="s">
        <v>40</v>
      </c>
      <c r="G139" s="2" t="s">
        <v>51</v>
      </c>
      <c r="H139" s="2" t="s">
        <v>52</v>
      </c>
      <c r="I139" s="4">
        <v>10</v>
      </c>
      <c r="J139" s="5">
        <v>174300</v>
      </c>
      <c r="K139" s="6">
        <v>0.18</v>
      </c>
      <c r="L139" s="2" t="s">
        <v>29</v>
      </c>
      <c r="M139" s="2" t="s">
        <v>94</v>
      </c>
      <c r="N139" s="5">
        <f t="shared" si="6"/>
        <v>1743000</v>
      </c>
      <c r="O139" s="5">
        <f t="shared" si="7"/>
        <v>313740</v>
      </c>
      <c r="P139" s="5">
        <f t="shared" si="8"/>
        <v>1429260</v>
      </c>
    </row>
    <row r="140" spans="1:16" x14ac:dyDescent="0.25">
      <c r="A140" s="2" t="s">
        <v>250</v>
      </c>
      <c r="B140" s="3">
        <v>45881</v>
      </c>
      <c r="C140" s="2" t="s">
        <v>245</v>
      </c>
      <c r="D140" s="2" t="s">
        <v>33</v>
      </c>
      <c r="E140" s="4">
        <v>24</v>
      </c>
      <c r="F140" s="2" t="s">
        <v>19</v>
      </c>
      <c r="G140" s="2" t="s">
        <v>35</v>
      </c>
      <c r="H140" s="2" t="s">
        <v>125</v>
      </c>
      <c r="I140" s="4">
        <v>3</v>
      </c>
      <c r="J140" s="5">
        <v>2000</v>
      </c>
      <c r="K140" s="6">
        <v>0</v>
      </c>
      <c r="L140" s="2" t="s">
        <v>22</v>
      </c>
      <c r="M140" s="2" t="s">
        <v>23</v>
      </c>
      <c r="N140" s="5">
        <f t="shared" si="6"/>
        <v>6000</v>
      </c>
      <c r="O140" s="5">
        <f t="shared" si="7"/>
        <v>0</v>
      </c>
      <c r="P140" s="5">
        <f t="shared" si="8"/>
        <v>6000</v>
      </c>
    </row>
    <row r="141" spans="1:16" x14ac:dyDescent="0.25">
      <c r="A141" s="2" t="s">
        <v>251</v>
      </c>
      <c r="B141" s="3">
        <v>46074</v>
      </c>
      <c r="C141" s="2" t="s">
        <v>39</v>
      </c>
      <c r="D141" s="2" t="s">
        <v>33</v>
      </c>
      <c r="E141" s="4">
        <v>51</v>
      </c>
      <c r="F141" s="2" t="s">
        <v>71</v>
      </c>
      <c r="G141" s="2" t="s">
        <v>27</v>
      </c>
      <c r="H141" s="2" t="s">
        <v>81</v>
      </c>
      <c r="I141" s="4">
        <v>5</v>
      </c>
      <c r="J141" s="5">
        <v>118900</v>
      </c>
      <c r="K141" s="6">
        <v>0.15</v>
      </c>
      <c r="L141" s="2" t="s">
        <v>47</v>
      </c>
      <c r="M141" s="2" t="s">
        <v>37</v>
      </c>
      <c r="N141" s="5">
        <f t="shared" si="6"/>
        <v>594500</v>
      </c>
      <c r="O141" s="5">
        <f t="shared" si="7"/>
        <v>89175</v>
      </c>
      <c r="P141" s="5">
        <f t="shared" si="8"/>
        <v>505325</v>
      </c>
    </row>
    <row r="142" spans="1:16" x14ac:dyDescent="0.25">
      <c r="A142" s="2" t="s">
        <v>252</v>
      </c>
      <c r="B142" s="3">
        <v>46197</v>
      </c>
      <c r="C142" s="2" t="s">
        <v>128</v>
      </c>
      <c r="D142" s="2" t="s">
        <v>33</v>
      </c>
      <c r="E142" s="4">
        <v>21</v>
      </c>
      <c r="F142" s="2" t="s">
        <v>34</v>
      </c>
      <c r="G142" s="2" t="s">
        <v>35</v>
      </c>
      <c r="H142" s="2" t="s">
        <v>74</v>
      </c>
      <c r="I142" s="4">
        <v>6</v>
      </c>
      <c r="J142" s="5">
        <v>2300</v>
      </c>
      <c r="K142" s="6">
        <v>0.02</v>
      </c>
      <c r="L142" s="2" t="s">
        <v>29</v>
      </c>
      <c r="M142" s="2" t="s">
        <v>112</v>
      </c>
      <c r="N142" s="5">
        <f t="shared" si="6"/>
        <v>13800</v>
      </c>
      <c r="O142" s="5">
        <f t="shared" si="7"/>
        <v>276</v>
      </c>
      <c r="P142" s="5">
        <f t="shared" si="8"/>
        <v>13524</v>
      </c>
    </row>
    <row r="143" spans="1:16" x14ac:dyDescent="0.25">
      <c r="A143" s="2" t="s">
        <v>253</v>
      </c>
      <c r="B143" s="3">
        <v>45995</v>
      </c>
      <c r="C143" s="2" t="s">
        <v>110</v>
      </c>
      <c r="D143" s="2" t="s">
        <v>18</v>
      </c>
      <c r="E143" s="4">
        <v>64</v>
      </c>
      <c r="F143" s="2" t="s">
        <v>34</v>
      </c>
      <c r="G143" s="2" t="s">
        <v>65</v>
      </c>
      <c r="H143" s="2" t="s">
        <v>90</v>
      </c>
      <c r="I143" s="4">
        <v>2</v>
      </c>
      <c r="J143" s="5">
        <v>18900</v>
      </c>
      <c r="K143" s="6">
        <v>0.05</v>
      </c>
      <c r="L143" s="2" t="s">
        <v>47</v>
      </c>
      <c r="M143" s="2" t="s">
        <v>68</v>
      </c>
      <c r="N143" s="5">
        <f t="shared" si="6"/>
        <v>37800</v>
      </c>
      <c r="O143" s="5">
        <f t="shared" si="7"/>
        <v>1890</v>
      </c>
      <c r="P143" s="5">
        <f t="shared" si="8"/>
        <v>35910</v>
      </c>
    </row>
    <row r="144" spans="1:16" x14ac:dyDescent="0.25">
      <c r="A144" s="2" t="s">
        <v>254</v>
      </c>
      <c r="B144" s="3">
        <v>46185</v>
      </c>
      <c r="C144" s="2" t="s">
        <v>70</v>
      </c>
      <c r="D144" s="2" t="s">
        <v>18</v>
      </c>
      <c r="E144" s="4">
        <v>60</v>
      </c>
      <c r="F144" s="2" t="s">
        <v>100</v>
      </c>
      <c r="G144" s="2" t="s">
        <v>27</v>
      </c>
      <c r="H144" s="2" t="s">
        <v>77</v>
      </c>
      <c r="I144" s="4">
        <v>9</v>
      </c>
      <c r="J144" s="5">
        <v>35100</v>
      </c>
      <c r="K144" s="6">
        <v>0.15</v>
      </c>
      <c r="L144" s="2" t="s">
        <v>29</v>
      </c>
      <c r="M144" s="2" t="s">
        <v>37</v>
      </c>
      <c r="N144" s="5">
        <f t="shared" si="6"/>
        <v>315900</v>
      </c>
      <c r="O144" s="5">
        <f t="shared" si="7"/>
        <v>47385</v>
      </c>
      <c r="P144" s="5">
        <f t="shared" si="8"/>
        <v>268515</v>
      </c>
    </row>
    <row r="145" spans="1:16" x14ac:dyDescent="0.25">
      <c r="A145" s="2" t="s">
        <v>255</v>
      </c>
      <c r="B145" s="3">
        <v>45915</v>
      </c>
      <c r="C145" s="2" t="s">
        <v>80</v>
      </c>
      <c r="D145" s="2" t="s">
        <v>18</v>
      </c>
      <c r="E145" s="4">
        <v>62</v>
      </c>
      <c r="F145" s="2" t="s">
        <v>34</v>
      </c>
      <c r="G145" s="2" t="s">
        <v>35</v>
      </c>
      <c r="H145" s="2" t="s">
        <v>125</v>
      </c>
      <c r="I145" s="4">
        <v>7</v>
      </c>
      <c r="J145" s="5">
        <v>2200</v>
      </c>
      <c r="K145" s="6">
        <v>0.2</v>
      </c>
      <c r="L145" s="2" t="s">
        <v>47</v>
      </c>
      <c r="M145" s="2" t="s">
        <v>56</v>
      </c>
      <c r="N145" s="5">
        <f t="shared" si="6"/>
        <v>15400</v>
      </c>
      <c r="O145" s="5">
        <f t="shared" si="7"/>
        <v>3080</v>
      </c>
      <c r="P145" s="5">
        <f t="shared" si="8"/>
        <v>12320</v>
      </c>
    </row>
    <row r="146" spans="1:16" x14ac:dyDescent="0.25">
      <c r="A146" s="2" t="s">
        <v>256</v>
      </c>
      <c r="B146" s="3">
        <v>46035</v>
      </c>
      <c r="C146" s="2" t="s">
        <v>157</v>
      </c>
      <c r="D146" s="2" t="s">
        <v>18</v>
      </c>
      <c r="E146" s="4">
        <v>29</v>
      </c>
      <c r="F146" s="2" t="s">
        <v>26</v>
      </c>
      <c r="G146" s="2" t="s">
        <v>20</v>
      </c>
      <c r="H146" s="2" t="s">
        <v>108</v>
      </c>
      <c r="I146" s="4">
        <v>4</v>
      </c>
      <c r="J146" s="5">
        <v>41300</v>
      </c>
      <c r="K146" s="6">
        <v>0.05</v>
      </c>
      <c r="L146" s="2" t="s">
        <v>22</v>
      </c>
      <c r="M146" s="2" t="s">
        <v>48</v>
      </c>
      <c r="N146" s="5">
        <f t="shared" si="6"/>
        <v>165200</v>
      </c>
      <c r="O146" s="5">
        <f t="shared" si="7"/>
        <v>8260</v>
      </c>
      <c r="P146" s="5">
        <f t="shared" si="8"/>
        <v>156940</v>
      </c>
    </row>
    <row r="147" spans="1:16" x14ac:dyDescent="0.25">
      <c r="A147" s="2" t="s">
        <v>257</v>
      </c>
      <c r="B147" s="3">
        <v>46001</v>
      </c>
      <c r="C147" s="2" t="s">
        <v>64</v>
      </c>
      <c r="D147" s="2" t="s">
        <v>33</v>
      </c>
      <c r="E147" s="4">
        <v>50</v>
      </c>
      <c r="F147" s="2" t="s">
        <v>71</v>
      </c>
      <c r="G147" s="2" t="s">
        <v>35</v>
      </c>
      <c r="H147" s="2" t="s">
        <v>125</v>
      </c>
      <c r="I147" s="4">
        <v>6</v>
      </c>
      <c r="J147" s="5">
        <v>2200</v>
      </c>
      <c r="K147" s="6">
        <v>0.05</v>
      </c>
      <c r="L147" s="2" t="s">
        <v>29</v>
      </c>
      <c r="M147" s="2" t="s">
        <v>112</v>
      </c>
      <c r="N147" s="5">
        <f t="shared" si="6"/>
        <v>13200</v>
      </c>
      <c r="O147" s="5">
        <f t="shared" si="7"/>
        <v>660</v>
      </c>
      <c r="P147" s="5">
        <f t="shared" si="8"/>
        <v>12540</v>
      </c>
    </row>
    <row r="148" spans="1:16" x14ac:dyDescent="0.25">
      <c r="A148" s="2" t="s">
        <v>258</v>
      </c>
      <c r="B148" s="3">
        <v>45928</v>
      </c>
      <c r="C148" s="2" t="s">
        <v>99</v>
      </c>
      <c r="D148" s="2" t="s">
        <v>18</v>
      </c>
      <c r="E148" s="4">
        <v>29</v>
      </c>
      <c r="F148" s="2" t="s">
        <v>34</v>
      </c>
      <c r="G148" s="2" t="s">
        <v>65</v>
      </c>
      <c r="H148" s="2" t="s">
        <v>90</v>
      </c>
      <c r="I148" s="4">
        <v>1</v>
      </c>
      <c r="J148" s="5">
        <v>22300</v>
      </c>
      <c r="K148" s="6">
        <v>0.15</v>
      </c>
      <c r="L148" s="2" t="s">
        <v>47</v>
      </c>
      <c r="M148" s="2" t="s">
        <v>60</v>
      </c>
      <c r="N148" s="5">
        <f t="shared" si="6"/>
        <v>22300</v>
      </c>
      <c r="O148" s="5">
        <f t="shared" si="7"/>
        <v>3345</v>
      </c>
      <c r="P148" s="5">
        <f t="shared" si="8"/>
        <v>18955</v>
      </c>
    </row>
    <row r="149" spans="1:16" x14ac:dyDescent="0.25">
      <c r="A149" s="2" t="s">
        <v>259</v>
      </c>
      <c r="B149" s="3">
        <v>46077</v>
      </c>
      <c r="C149" s="2" t="s">
        <v>229</v>
      </c>
      <c r="D149" s="2" t="s">
        <v>18</v>
      </c>
      <c r="E149" s="4">
        <v>36</v>
      </c>
      <c r="F149" s="2" t="s">
        <v>34</v>
      </c>
      <c r="G149" s="2" t="s">
        <v>51</v>
      </c>
      <c r="H149" s="2" t="s">
        <v>52</v>
      </c>
      <c r="I149" s="4">
        <v>4</v>
      </c>
      <c r="J149" s="5">
        <v>230000</v>
      </c>
      <c r="K149" s="6">
        <v>0.1</v>
      </c>
      <c r="L149" s="2" t="s">
        <v>47</v>
      </c>
      <c r="M149" s="2" t="s">
        <v>60</v>
      </c>
      <c r="N149" s="5">
        <f t="shared" si="6"/>
        <v>920000</v>
      </c>
      <c r="O149" s="5">
        <f t="shared" si="7"/>
        <v>92000</v>
      </c>
      <c r="P149" s="5">
        <f t="shared" si="8"/>
        <v>828000</v>
      </c>
    </row>
    <row r="150" spans="1:16" x14ac:dyDescent="0.25">
      <c r="A150" s="2" t="s">
        <v>260</v>
      </c>
      <c r="B150" s="3">
        <v>46038</v>
      </c>
      <c r="C150" s="2" t="s">
        <v>105</v>
      </c>
      <c r="D150" s="2" t="s">
        <v>33</v>
      </c>
      <c r="E150" s="4">
        <v>54</v>
      </c>
      <c r="F150" s="2" t="s">
        <v>100</v>
      </c>
      <c r="G150" s="2" t="s">
        <v>51</v>
      </c>
      <c r="H150" s="2" t="s">
        <v>92</v>
      </c>
      <c r="I150" s="4">
        <v>7</v>
      </c>
      <c r="J150" s="5">
        <v>27700</v>
      </c>
      <c r="K150" s="6">
        <v>0.2</v>
      </c>
      <c r="L150" s="2" t="s">
        <v>29</v>
      </c>
      <c r="M150" s="2" t="s">
        <v>112</v>
      </c>
      <c r="N150" s="5">
        <f t="shared" si="6"/>
        <v>193900</v>
      </c>
      <c r="O150" s="5">
        <f t="shared" si="7"/>
        <v>38780</v>
      </c>
      <c r="P150" s="5">
        <f t="shared" si="8"/>
        <v>155120</v>
      </c>
    </row>
    <row r="151" spans="1:16" x14ac:dyDescent="0.25">
      <c r="A151" s="2" t="s">
        <v>261</v>
      </c>
      <c r="B151" s="3">
        <v>45932</v>
      </c>
      <c r="C151" s="2" t="s">
        <v>54</v>
      </c>
      <c r="D151" s="2" t="s">
        <v>33</v>
      </c>
      <c r="E151" s="4">
        <v>56</v>
      </c>
      <c r="F151" s="2" t="s">
        <v>26</v>
      </c>
      <c r="G151" s="2" t="s">
        <v>20</v>
      </c>
      <c r="H151" s="2" t="s">
        <v>114</v>
      </c>
      <c r="I151" s="4">
        <v>8</v>
      </c>
      <c r="J151" s="5">
        <v>3800</v>
      </c>
      <c r="K151" s="6">
        <v>0.12</v>
      </c>
      <c r="L151" s="2" t="s">
        <v>29</v>
      </c>
      <c r="M151" s="2" t="s">
        <v>48</v>
      </c>
      <c r="N151" s="5">
        <f t="shared" si="6"/>
        <v>30400</v>
      </c>
      <c r="O151" s="5">
        <f t="shared" si="7"/>
        <v>3648</v>
      </c>
      <c r="P151" s="5">
        <f t="shared" si="8"/>
        <v>26752</v>
      </c>
    </row>
    <row r="152" spans="1:16" x14ac:dyDescent="0.25">
      <c r="A152" s="2" t="s">
        <v>262</v>
      </c>
      <c r="B152" s="3">
        <v>46214</v>
      </c>
      <c r="C152" s="2" t="s">
        <v>39</v>
      </c>
      <c r="D152" s="2" t="s">
        <v>33</v>
      </c>
      <c r="E152" s="4">
        <v>25</v>
      </c>
      <c r="F152" s="2" t="s">
        <v>19</v>
      </c>
      <c r="G152" s="2" t="s">
        <v>45</v>
      </c>
      <c r="H152" s="2" t="s">
        <v>101</v>
      </c>
      <c r="I152" s="4">
        <v>8</v>
      </c>
      <c r="J152" s="5">
        <v>16900</v>
      </c>
      <c r="K152" s="6">
        <v>0.2</v>
      </c>
      <c r="L152" s="2" t="s">
        <v>22</v>
      </c>
      <c r="M152" s="2" t="s">
        <v>112</v>
      </c>
      <c r="N152" s="5">
        <f t="shared" si="6"/>
        <v>135200</v>
      </c>
      <c r="O152" s="5">
        <f t="shared" si="7"/>
        <v>27040</v>
      </c>
      <c r="P152" s="5">
        <f t="shared" si="8"/>
        <v>108160</v>
      </c>
    </row>
    <row r="153" spans="1:16" x14ac:dyDescent="0.25">
      <c r="A153" s="2" t="s">
        <v>263</v>
      </c>
      <c r="B153" s="3">
        <v>45896</v>
      </c>
      <c r="C153" s="2" t="s">
        <v>165</v>
      </c>
      <c r="D153" s="2" t="s">
        <v>33</v>
      </c>
      <c r="E153" s="4">
        <v>46</v>
      </c>
      <c r="F153" s="2" t="s">
        <v>19</v>
      </c>
      <c r="G153" s="2" t="s">
        <v>45</v>
      </c>
      <c r="H153" s="2" t="s">
        <v>59</v>
      </c>
      <c r="I153" s="4">
        <v>7</v>
      </c>
      <c r="J153" s="5">
        <v>12400</v>
      </c>
      <c r="K153" s="6">
        <v>0.2</v>
      </c>
      <c r="L153" s="2" t="s">
        <v>47</v>
      </c>
      <c r="M153" s="2" t="s">
        <v>60</v>
      </c>
      <c r="N153" s="5">
        <f t="shared" si="6"/>
        <v>86800</v>
      </c>
      <c r="O153" s="5">
        <f t="shared" si="7"/>
        <v>17360</v>
      </c>
      <c r="P153" s="5">
        <f t="shared" si="8"/>
        <v>69440</v>
      </c>
    </row>
    <row r="154" spans="1:16" x14ac:dyDescent="0.25">
      <c r="A154" s="2" t="s">
        <v>264</v>
      </c>
      <c r="B154" s="3">
        <v>46047</v>
      </c>
      <c r="C154" s="2" t="s">
        <v>122</v>
      </c>
      <c r="D154" s="2" t="s">
        <v>33</v>
      </c>
      <c r="E154" s="4">
        <v>41</v>
      </c>
      <c r="F154" s="2" t="s">
        <v>26</v>
      </c>
      <c r="G154" s="2" t="s">
        <v>45</v>
      </c>
      <c r="H154" s="2" t="s">
        <v>187</v>
      </c>
      <c r="I154" s="4">
        <v>6</v>
      </c>
      <c r="J154" s="5">
        <v>73000</v>
      </c>
      <c r="K154" s="6">
        <v>0.05</v>
      </c>
      <c r="L154" s="2" t="s">
        <v>22</v>
      </c>
      <c r="M154" s="2" t="s">
        <v>56</v>
      </c>
      <c r="N154" s="5">
        <f t="shared" si="6"/>
        <v>438000</v>
      </c>
      <c r="O154" s="5">
        <f t="shared" si="7"/>
        <v>21900</v>
      </c>
      <c r="P154" s="5">
        <f t="shared" si="8"/>
        <v>416100</v>
      </c>
    </row>
    <row r="155" spans="1:16" x14ac:dyDescent="0.25">
      <c r="A155" s="2" t="s">
        <v>265</v>
      </c>
      <c r="B155" s="3">
        <v>45996</v>
      </c>
      <c r="C155" s="2" t="s">
        <v>155</v>
      </c>
      <c r="D155" s="2" t="s">
        <v>18</v>
      </c>
      <c r="E155" s="4">
        <v>62</v>
      </c>
      <c r="F155" s="2" t="s">
        <v>26</v>
      </c>
      <c r="G155" s="2" t="s">
        <v>35</v>
      </c>
      <c r="H155" s="2" t="s">
        <v>55</v>
      </c>
      <c r="I155" s="4">
        <v>10</v>
      </c>
      <c r="J155" s="5">
        <v>5300</v>
      </c>
      <c r="K155" s="6">
        <v>0</v>
      </c>
      <c r="L155" s="2" t="s">
        <v>22</v>
      </c>
      <c r="M155" s="2" t="s">
        <v>56</v>
      </c>
      <c r="N155" s="5">
        <f t="shared" si="6"/>
        <v>53000</v>
      </c>
      <c r="O155" s="5">
        <f t="shared" si="7"/>
        <v>0</v>
      </c>
      <c r="P155" s="5">
        <f t="shared" si="8"/>
        <v>53000</v>
      </c>
    </row>
    <row r="156" spans="1:16" x14ac:dyDescent="0.25">
      <c r="A156" s="2" t="s">
        <v>266</v>
      </c>
      <c r="B156" s="3">
        <v>45981</v>
      </c>
      <c r="C156" s="2" t="s">
        <v>32</v>
      </c>
      <c r="D156" s="2" t="s">
        <v>33</v>
      </c>
      <c r="E156" s="4">
        <v>27</v>
      </c>
      <c r="F156" s="2" t="s">
        <v>71</v>
      </c>
      <c r="G156" s="2" t="s">
        <v>35</v>
      </c>
      <c r="H156" s="2" t="s">
        <v>55</v>
      </c>
      <c r="I156" s="4">
        <v>5</v>
      </c>
      <c r="J156" s="5">
        <v>4000</v>
      </c>
      <c r="K156" s="6">
        <v>7.0000000000000007E-2</v>
      </c>
      <c r="L156" s="2" t="s">
        <v>47</v>
      </c>
      <c r="M156" s="2" t="s">
        <v>48</v>
      </c>
      <c r="N156" s="5">
        <f t="shared" si="6"/>
        <v>20000</v>
      </c>
      <c r="O156" s="5">
        <f t="shared" si="7"/>
        <v>1400.0000000000002</v>
      </c>
      <c r="P156" s="5">
        <f t="shared" si="8"/>
        <v>18600</v>
      </c>
    </row>
    <row r="157" spans="1:16" x14ac:dyDescent="0.25">
      <c r="A157" s="2" t="s">
        <v>267</v>
      </c>
      <c r="B157" s="3">
        <v>45874</v>
      </c>
      <c r="C157" s="2" t="s">
        <v>50</v>
      </c>
      <c r="D157" s="2" t="s">
        <v>33</v>
      </c>
      <c r="E157" s="4">
        <v>44</v>
      </c>
      <c r="F157" s="2" t="s">
        <v>34</v>
      </c>
      <c r="G157" s="2" t="s">
        <v>65</v>
      </c>
      <c r="H157" s="2" t="s">
        <v>129</v>
      </c>
      <c r="I157" s="4">
        <v>2</v>
      </c>
      <c r="J157" s="5">
        <v>11000</v>
      </c>
      <c r="K157" s="6">
        <v>0.18</v>
      </c>
      <c r="L157" s="2" t="s">
        <v>29</v>
      </c>
      <c r="M157" s="2" t="s">
        <v>42</v>
      </c>
      <c r="N157" s="5">
        <f t="shared" si="6"/>
        <v>22000</v>
      </c>
      <c r="O157" s="5">
        <f t="shared" si="7"/>
        <v>3960</v>
      </c>
      <c r="P157" s="5">
        <f t="shared" si="8"/>
        <v>18040</v>
      </c>
    </row>
    <row r="158" spans="1:16" x14ac:dyDescent="0.25">
      <c r="A158" s="2" t="s">
        <v>268</v>
      </c>
      <c r="B158" s="3">
        <v>45858</v>
      </c>
      <c r="C158" s="2" t="s">
        <v>247</v>
      </c>
      <c r="D158" s="2" t="s">
        <v>33</v>
      </c>
      <c r="E158" s="4">
        <v>50</v>
      </c>
      <c r="F158" s="2" t="s">
        <v>71</v>
      </c>
      <c r="G158" s="2" t="s">
        <v>27</v>
      </c>
      <c r="H158" s="2" t="s">
        <v>41</v>
      </c>
      <c r="I158" s="4">
        <v>7</v>
      </c>
      <c r="J158" s="5">
        <v>128200</v>
      </c>
      <c r="K158" s="6">
        <v>0</v>
      </c>
      <c r="L158" s="2" t="s">
        <v>29</v>
      </c>
      <c r="M158" s="2" t="s">
        <v>37</v>
      </c>
      <c r="N158" s="5">
        <f t="shared" si="6"/>
        <v>897400</v>
      </c>
      <c r="O158" s="5">
        <f t="shared" si="7"/>
        <v>0</v>
      </c>
      <c r="P158" s="5">
        <f t="shared" si="8"/>
        <v>897400</v>
      </c>
    </row>
    <row r="159" spans="1:16" x14ac:dyDescent="0.25">
      <c r="A159" s="2" t="s">
        <v>269</v>
      </c>
      <c r="B159" s="3">
        <v>45973</v>
      </c>
      <c r="C159" s="2" t="s">
        <v>118</v>
      </c>
      <c r="D159" s="2" t="s">
        <v>33</v>
      </c>
      <c r="E159" s="4">
        <v>44</v>
      </c>
      <c r="F159" s="2" t="s">
        <v>26</v>
      </c>
      <c r="G159" s="2" t="s">
        <v>35</v>
      </c>
      <c r="H159" s="2" t="s">
        <v>125</v>
      </c>
      <c r="I159" s="4">
        <v>6</v>
      </c>
      <c r="J159" s="5">
        <v>2000</v>
      </c>
      <c r="K159" s="6">
        <v>0.02</v>
      </c>
      <c r="L159" s="2" t="s">
        <v>29</v>
      </c>
      <c r="M159" s="2" t="s">
        <v>42</v>
      </c>
      <c r="N159" s="5">
        <f t="shared" si="6"/>
        <v>12000</v>
      </c>
      <c r="O159" s="5">
        <f t="shared" si="7"/>
        <v>240</v>
      </c>
      <c r="P159" s="5">
        <f t="shared" si="8"/>
        <v>11760</v>
      </c>
    </row>
    <row r="160" spans="1:16" x14ac:dyDescent="0.25">
      <c r="A160" s="2" t="s">
        <v>270</v>
      </c>
      <c r="B160" s="3">
        <v>46109</v>
      </c>
      <c r="C160" s="2" t="s">
        <v>218</v>
      </c>
      <c r="D160" s="2" t="s">
        <v>33</v>
      </c>
      <c r="E160" s="4">
        <v>53</v>
      </c>
      <c r="F160" s="2" t="s">
        <v>40</v>
      </c>
      <c r="G160" s="2" t="s">
        <v>51</v>
      </c>
      <c r="H160" s="2" t="s">
        <v>120</v>
      </c>
      <c r="I160" s="4">
        <v>7</v>
      </c>
      <c r="J160" s="5">
        <v>26400</v>
      </c>
      <c r="K160" s="6">
        <v>0.12</v>
      </c>
      <c r="L160" s="2" t="s">
        <v>47</v>
      </c>
      <c r="M160" s="2" t="s">
        <v>56</v>
      </c>
      <c r="N160" s="5">
        <f t="shared" si="6"/>
        <v>184800</v>
      </c>
      <c r="O160" s="5">
        <f t="shared" si="7"/>
        <v>22176</v>
      </c>
      <c r="P160" s="5">
        <f t="shared" si="8"/>
        <v>162624</v>
      </c>
    </row>
    <row r="161" spans="1:16" x14ac:dyDescent="0.25">
      <c r="A161" s="2" t="s">
        <v>271</v>
      </c>
      <c r="B161" s="3">
        <v>46032</v>
      </c>
      <c r="C161" s="2" t="s">
        <v>272</v>
      </c>
      <c r="D161" s="2" t="s">
        <v>18</v>
      </c>
      <c r="E161" s="4">
        <v>40</v>
      </c>
      <c r="F161" s="2" t="s">
        <v>26</v>
      </c>
      <c r="G161" s="2" t="s">
        <v>35</v>
      </c>
      <c r="H161" s="2" t="s">
        <v>125</v>
      </c>
      <c r="I161" s="4">
        <v>10</v>
      </c>
      <c r="J161" s="5">
        <v>2300</v>
      </c>
      <c r="K161" s="6">
        <v>0.12</v>
      </c>
      <c r="L161" s="2" t="s">
        <v>22</v>
      </c>
      <c r="M161" s="2" t="s">
        <v>56</v>
      </c>
      <c r="N161" s="5">
        <f t="shared" si="6"/>
        <v>23000</v>
      </c>
      <c r="O161" s="5">
        <f t="shared" si="7"/>
        <v>2760</v>
      </c>
      <c r="P161" s="5">
        <f t="shared" si="8"/>
        <v>20240</v>
      </c>
    </row>
    <row r="162" spans="1:16" x14ac:dyDescent="0.25">
      <c r="A162" s="2" t="s">
        <v>273</v>
      </c>
      <c r="B162" s="3">
        <v>46030</v>
      </c>
      <c r="C162" s="2" t="s">
        <v>62</v>
      </c>
      <c r="D162" s="2" t="s">
        <v>18</v>
      </c>
      <c r="E162" s="4">
        <v>39</v>
      </c>
      <c r="F162" s="2" t="s">
        <v>34</v>
      </c>
      <c r="G162" s="2" t="s">
        <v>27</v>
      </c>
      <c r="H162" s="2" t="s">
        <v>28</v>
      </c>
      <c r="I162" s="4">
        <v>8</v>
      </c>
      <c r="J162" s="5">
        <v>52800</v>
      </c>
      <c r="K162" s="6">
        <v>0.05</v>
      </c>
      <c r="L162" s="2" t="s">
        <v>22</v>
      </c>
      <c r="M162" s="2" t="s">
        <v>48</v>
      </c>
      <c r="N162" s="5">
        <f t="shared" si="6"/>
        <v>422400</v>
      </c>
      <c r="O162" s="5">
        <f t="shared" si="7"/>
        <v>21120</v>
      </c>
      <c r="P162" s="5">
        <f t="shared" si="8"/>
        <v>401280</v>
      </c>
    </row>
    <row r="163" spans="1:16" x14ac:dyDescent="0.25">
      <c r="A163" s="2" t="s">
        <v>274</v>
      </c>
      <c r="B163" s="3">
        <v>46084</v>
      </c>
      <c r="C163" s="2" t="s">
        <v>96</v>
      </c>
      <c r="D163" s="2" t="s">
        <v>18</v>
      </c>
      <c r="E163" s="4">
        <v>36</v>
      </c>
      <c r="F163" s="2" t="s">
        <v>26</v>
      </c>
      <c r="G163" s="2" t="s">
        <v>45</v>
      </c>
      <c r="H163" s="2" t="s">
        <v>101</v>
      </c>
      <c r="I163" s="4">
        <v>6</v>
      </c>
      <c r="J163" s="5">
        <v>9400</v>
      </c>
      <c r="K163" s="6">
        <v>0.1</v>
      </c>
      <c r="L163" s="2" t="s">
        <v>29</v>
      </c>
      <c r="M163" s="2" t="s">
        <v>112</v>
      </c>
      <c r="N163" s="5">
        <f t="shared" si="6"/>
        <v>56400</v>
      </c>
      <c r="O163" s="5">
        <f t="shared" si="7"/>
        <v>5640</v>
      </c>
      <c r="P163" s="5">
        <f t="shared" si="8"/>
        <v>50760</v>
      </c>
    </row>
    <row r="164" spans="1:16" x14ac:dyDescent="0.25">
      <c r="A164" s="2" t="s">
        <v>275</v>
      </c>
      <c r="B164" s="3">
        <v>46128</v>
      </c>
      <c r="C164" s="2" t="s">
        <v>155</v>
      </c>
      <c r="D164" s="2" t="s">
        <v>18</v>
      </c>
      <c r="E164" s="4">
        <v>34</v>
      </c>
      <c r="F164" s="2" t="s">
        <v>40</v>
      </c>
      <c r="G164" s="2" t="s">
        <v>35</v>
      </c>
      <c r="H164" s="2" t="s">
        <v>36</v>
      </c>
      <c r="I164" s="4">
        <v>6</v>
      </c>
      <c r="J164" s="5">
        <v>3600</v>
      </c>
      <c r="K164" s="6">
        <v>0</v>
      </c>
      <c r="L164" s="2" t="s">
        <v>29</v>
      </c>
      <c r="M164" s="2" t="s">
        <v>37</v>
      </c>
      <c r="N164" s="5">
        <f t="shared" si="6"/>
        <v>21600</v>
      </c>
      <c r="O164" s="5">
        <f t="shared" si="7"/>
        <v>0</v>
      </c>
      <c r="P164" s="5">
        <f t="shared" si="8"/>
        <v>21600</v>
      </c>
    </row>
    <row r="165" spans="1:16" x14ac:dyDescent="0.25">
      <c r="A165" s="2" t="s">
        <v>276</v>
      </c>
      <c r="B165" s="3">
        <v>45989</v>
      </c>
      <c r="C165" s="2" t="s">
        <v>143</v>
      </c>
      <c r="D165" s="2" t="s">
        <v>33</v>
      </c>
      <c r="E165" s="4">
        <v>41</v>
      </c>
      <c r="F165" s="2" t="s">
        <v>100</v>
      </c>
      <c r="G165" s="2" t="s">
        <v>51</v>
      </c>
      <c r="H165" s="2" t="s">
        <v>120</v>
      </c>
      <c r="I165" s="4">
        <v>6</v>
      </c>
      <c r="J165" s="5">
        <v>37700</v>
      </c>
      <c r="K165" s="6">
        <v>0.05</v>
      </c>
      <c r="L165" s="2" t="s">
        <v>47</v>
      </c>
      <c r="M165" s="2" t="s">
        <v>23</v>
      </c>
      <c r="N165" s="5">
        <f t="shared" si="6"/>
        <v>226200</v>
      </c>
      <c r="O165" s="5">
        <f t="shared" si="7"/>
        <v>11310</v>
      </c>
      <c r="P165" s="5">
        <f t="shared" si="8"/>
        <v>214890</v>
      </c>
    </row>
    <row r="166" spans="1:16" x14ac:dyDescent="0.25">
      <c r="A166" s="2" t="s">
        <v>277</v>
      </c>
      <c r="B166" s="3">
        <v>46038</v>
      </c>
      <c r="C166" s="2" t="s">
        <v>39</v>
      </c>
      <c r="D166" s="2" t="s">
        <v>33</v>
      </c>
      <c r="E166" s="4">
        <v>35</v>
      </c>
      <c r="F166" s="2" t="s">
        <v>40</v>
      </c>
      <c r="G166" s="2" t="s">
        <v>35</v>
      </c>
      <c r="H166" s="2" t="s">
        <v>55</v>
      </c>
      <c r="I166" s="4">
        <v>7</v>
      </c>
      <c r="J166" s="5">
        <v>3800</v>
      </c>
      <c r="K166" s="6">
        <v>0.05</v>
      </c>
      <c r="L166" s="2" t="s">
        <v>29</v>
      </c>
      <c r="M166" s="2" t="s">
        <v>68</v>
      </c>
      <c r="N166" s="5">
        <f t="shared" si="6"/>
        <v>26600</v>
      </c>
      <c r="O166" s="5">
        <f t="shared" si="7"/>
        <v>1330</v>
      </c>
      <c r="P166" s="5">
        <f t="shared" si="8"/>
        <v>25270</v>
      </c>
    </row>
    <row r="167" spans="1:16" x14ac:dyDescent="0.25">
      <c r="A167" s="2" t="s">
        <v>278</v>
      </c>
      <c r="B167" s="3">
        <v>46014</v>
      </c>
      <c r="C167" s="2" t="s">
        <v>64</v>
      </c>
      <c r="D167" s="2" t="s">
        <v>33</v>
      </c>
      <c r="E167" s="4">
        <v>23</v>
      </c>
      <c r="F167" s="2" t="s">
        <v>19</v>
      </c>
      <c r="G167" s="2" t="s">
        <v>35</v>
      </c>
      <c r="H167" s="2" t="s">
        <v>74</v>
      </c>
      <c r="I167" s="4">
        <v>8</v>
      </c>
      <c r="J167" s="5">
        <v>3300</v>
      </c>
      <c r="K167" s="6">
        <v>0.15</v>
      </c>
      <c r="L167" s="2" t="s">
        <v>22</v>
      </c>
      <c r="M167" s="2" t="s">
        <v>23</v>
      </c>
      <c r="N167" s="5">
        <f t="shared" si="6"/>
        <v>26400</v>
      </c>
      <c r="O167" s="5">
        <f t="shared" si="7"/>
        <v>3960</v>
      </c>
      <c r="P167" s="5">
        <f t="shared" si="8"/>
        <v>22440</v>
      </c>
    </row>
    <row r="168" spans="1:16" x14ac:dyDescent="0.25">
      <c r="A168" s="2" t="s">
        <v>279</v>
      </c>
      <c r="B168" s="3">
        <v>46029</v>
      </c>
      <c r="C168" s="2" t="s">
        <v>245</v>
      </c>
      <c r="D168" s="2" t="s">
        <v>33</v>
      </c>
      <c r="E168" s="4">
        <v>20</v>
      </c>
      <c r="F168" s="2" t="s">
        <v>34</v>
      </c>
      <c r="G168" s="2" t="s">
        <v>20</v>
      </c>
      <c r="H168" s="2" t="s">
        <v>108</v>
      </c>
      <c r="I168" s="4">
        <v>1</v>
      </c>
      <c r="J168" s="5">
        <v>44000</v>
      </c>
      <c r="K168" s="6">
        <v>0.02</v>
      </c>
      <c r="L168" s="2" t="s">
        <v>29</v>
      </c>
      <c r="M168" s="2" t="s">
        <v>112</v>
      </c>
      <c r="N168" s="5">
        <f t="shared" si="6"/>
        <v>44000</v>
      </c>
      <c r="O168" s="5">
        <f t="shared" si="7"/>
        <v>880</v>
      </c>
      <c r="P168" s="5">
        <f t="shared" si="8"/>
        <v>43120</v>
      </c>
    </row>
    <row r="169" spans="1:16" x14ac:dyDescent="0.25">
      <c r="A169" s="2" t="s">
        <v>280</v>
      </c>
      <c r="B169" s="3">
        <v>46036</v>
      </c>
      <c r="C169" s="2" t="s">
        <v>218</v>
      </c>
      <c r="D169" s="2" t="s">
        <v>33</v>
      </c>
      <c r="E169" s="4">
        <v>65</v>
      </c>
      <c r="F169" s="2" t="s">
        <v>34</v>
      </c>
      <c r="G169" s="2" t="s">
        <v>27</v>
      </c>
      <c r="H169" s="2" t="s">
        <v>77</v>
      </c>
      <c r="I169" s="4">
        <v>10</v>
      </c>
      <c r="J169" s="5">
        <v>29700</v>
      </c>
      <c r="K169" s="6">
        <v>0.18</v>
      </c>
      <c r="L169" s="2" t="s">
        <v>22</v>
      </c>
      <c r="M169" s="2" t="s">
        <v>94</v>
      </c>
      <c r="N169" s="5">
        <f t="shared" si="6"/>
        <v>297000</v>
      </c>
      <c r="O169" s="5">
        <f t="shared" si="7"/>
        <v>53460</v>
      </c>
      <c r="P169" s="5">
        <f t="shared" si="8"/>
        <v>243540</v>
      </c>
    </row>
    <row r="170" spans="1:16" x14ac:dyDescent="0.25">
      <c r="A170" s="2" t="s">
        <v>281</v>
      </c>
      <c r="B170" s="3">
        <v>45884</v>
      </c>
      <c r="C170" s="2" t="s">
        <v>50</v>
      </c>
      <c r="D170" s="2" t="s">
        <v>33</v>
      </c>
      <c r="E170" s="4">
        <v>59</v>
      </c>
      <c r="F170" s="2" t="s">
        <v>19</v>
      </c>
      <c r="G170" s="2" t="s">
        <v>20</v>
      </c>
      <c r="H170" s="2" t="s">
        <v>108</v>
      </c>
      <c r="I170" s="4">
        <v>1</v>
      </c>
      <c r="J170" s="5">
        <v>53600</v>
      </c>
      <c r="K170" s="6">
        <v>0.05</v>
      </c>
      <c r="L170" s="2" t="s">
        <v>29</v>
      </c>
      <c r="M170" s="2" t="s">
        <v>23</v>
      </c>
      <c r="N170" s="5">
        <f t="shared" si="6"/>
        <v>53600</v>
      </c>
      <c r="O170" s="5">
        <f t="shared" si="7"/>
        <v>2680</v>
      </c>
      <c r="P170" s="5">
        <f t="shared" si="8"/>
        <v>50920</v>
      </c>
    </row>
    <row r="171" spans="1:16" x14ac:dyDescent="0.25">
      <c r="A171" s="2" t="s">
        <v>282</v>
      </c>
      <c r="B171" s="3">
        <v>46039</v>
      </c>
      <c r="C171" s="2" t="s">
        <v>283</v>
      </c>
      <c r="D171" s="2" t="s">
        <v>18</v>
      </c>
      <c r="E171" s="4">
        <v>46</v>
      </c>
      <c r="F171" s="2" t="s">
        <v>40</v>
      </c>
      <c r="G171" s="2" t="s">
        <v>65</v>
      </c>
      <c r="H171" s="2" t="s">
        <v>90</v>
      </c>
      <c r="I171" s="4">
        <v>7</v>
      </c>
      <c r="J171" s="5">
        <v>20000</v>
      </c>
      <c r="K171" s="6">
        <v>0.12</v>
      </c>
      <c r="L171" s="2" t="s">
        <v>29</v>
      </c>
      <c r="M171" s="2" t="s">
        <v>68</v>
      </c>
      <c r="N171" s="5">
        <f t="shared" si="6"/>
        <v>140000</v>
      </c>
      <c r="O171" s="5">
        <f t="shared" si="7"/>
        <v>16800</v>
      </c>
      <c r="P171" s="5">
        <f t="shared" si="8"/>
        <v>123200</v>
      </c>
    </row>
    <row r="172" spans="1:16" x14ac:dyDescent="0.25">
      <c r="A172" s="2" t="s">
        <v>284</v>
      </c>
      <c r="B172" s="3">
        <v>45977</v>
      </c>
      <c r="C172" s="2" t="s">
        <v>143</v>
      </c>
      <c r="D172" s="2" t="s">
        <v>33</v>
      </c>
      <c r="E172" s="4">
        <v>19</v>
      </c>
      <c r="F172" s="2" t="s">
        <v>34</v>
      </c>
      <c r="G172" s="2" t="s">
        <v>27</v>
      </c>
      <c r="H172" s="2" t="s">
        <v>28</v>
      </c>
      <c r="I172" s="4">
        <v>7</v>
      </c>
      <c r="J172" s="5">
        <v>47000</v>
      </c>
      <c r="K172" s="6">
        <v>0.2</v>
      </c>
      <c r="L172" s="2" t="s">
        <v>22</v>
      </c>
      <c r="M172" s="2" t="s">
        <v>68</v>
      </c>
      <c r="N172" s="5">
        <f t="shared" si="6"/>
        <v>329000</v>
      </c>
      <c r="O172" s="5">
        <f t="shared" si="7"/>
        <v>65800</v>
      </c>
      <c r="P172" s="5">
        <f t="shared" si="8"/>
        <v>263200</v>
      </c>
    </row>
    <row r="173" spans="1:16" x14ac:dyDescent="0.25">
      <c r="A173" s="2" t="s">
        <v>285</v>
      </c>
      <c r="B173" s="3">
        <v>45983</v>
      </c>
      <c r="C173" s="2" t="s">
        <v>182</v>
      </c>
      <c r="D173" s="2" t="s">
        <v>18</v>
      </c>
      <c r="E173" s="4">
        <v>46</v>
      </c>
      <c r="F173" s="2" t="s">
        <v>26</v>
      </c>
      <c r="G173" s="2" t="s">
        <v>65</v>
      </c>
      <c r="H173" s="2" t="s">
        <v>172</v>
      </c>
      <c r="I173" s="4">
        <v>8</v>
      </c>
      <c r="J173" s="5">
        <v>5800</v>
      </c>
      <c r="K173" s="6">
        <v>7.0000000000000007E-2</v>
      </c>
      <c r="L173" s="2" t="s">
        <v>22</v>
      </c>
      <c r="M173" s="2" t="s">
        <v>94</v>
      </c>
      <c r="N173" s="5">
        <f t="shared" si="6"/>
        <v>46400</v>
      </c>
      <c r="O173" s="5">
        <f t="shared" si="7"/>
        <v>3248.0000000000005</v>
      </c>
      <c r="P173" s="5">
        <f t="shared" si="8"/>
        <v>43152</v>
      </c>
    </row>
    <row r="174" spans="1:16" x14ac:dyDescent="0.25">
      <c r="A174" s="2" t="s">
        <v>286</v>
      </c>
      <c r="B174" s="3">
        <v>45887</v>
      </c>
      <c r="C174" s="2" t="s">
        <v>245</v>
      </c>
      <c r="D174" s="2" t="s">
        <v>33</v>
      </c>
      <c r="E174" s="4">
        <v>29</v>
      </c>
      <c r="F174" s="2" t="s">
        <v>34</v>
      </c>
      <c r="G174" s="2" t="s">
        <v>51</v>
      </c>
      <c r="H174" s="2" t="s">
        <v>111</v>
      </c>
      <c r="I174" s="4">
        <v>6</v>
      </c>
      <c r="J174" s="5">
        <v>428800</v>
      </c>
      <c r="K174" s="6">
        <v>0.12</v>
      </c>
      <c r="L174" s="2" t="s">
        <v>29</v>
      </c>
      <c r="M174" s="2" t="s">
        <v>48</v>
      </c>
      <c r="N174" s="5">
        <f t="shared" si="6"/>
        <v>2572800</v>
      </c>
      <c r="O174" s="5">
        <f t="shared" si="7"/>
        <v>308736</v>
      </c>
      <c r="P174" s="5">
        <f t="shared" si="8"/>
        <v>2264064</v>
      </c>
    </row>
    <row r="175" spans="1:16" x14ac:dyDescent="0.25">
      <c r="A175" s="2" t="s">
        <v>287</v>
      </c>
      <c r="B175" s="3">
        <v>46131</v>
      </c>
      <c r="C175" s="2" t="s">
        <v>62</v>
      </c>
      <c r="D175" s="2" t="s">
        <v>18</v>
      </c>
      <c r="E175" s="4">
        <v>36</v>
      </c>
      <c r="F175" s="2" t="s">
        <v>19</v>
      </c>
      <c r="G175" s="2" t="s">
        <v>27</v>
      </c>
      <c r="H175" s="2" t="s">
        <v>41</v>
      </c>
      <c r="I175" s="4">
        <v>9</v>
      </c>
      <c r="J175" s="5">
        <v>137400</v>
      </c>
      <c r="K175" s="6">
        <v>7.0000000000000007E-2</v>
      </c>
      <c r="L175" s="2" t="s">
        <v>22</v>
      </c>
      <c r="M175" s="2" t="s">
        <v>60</v>
      </c>
      <c r="N175" s="5">
        <f t="shared" si="6"/>
        <v>1236600</v>
      </c>
      <c r="O175" s="5">
        <f t="shared" si="7"/>
        <v>86562.000000000015</v>
      </c>
      <c r="P175" s="5">
        <f t="shared" si="8"/>
        <v>1150038</v>
      </c>
    </row>
    <row r="176" spans="1:16" x14ac:dyDescent="0.25">
      <c r="A176" s="2" t="s">
        <v>288</v>
      </c>
      <c r="B176" s="3">
        <v>45921</v>
      </c>
      <c r="C176" s="2" t="s">
        <v>50</v>
      </c>
      <c r="D176" s="2" t="s">
        <v>33</v>
      </c>
      <c r="E176" s="4">
        <v>49</v>
      </c>
      <c r="F176" s="2" t="s">
        <v>40</v>
      </c>
      <c r="G176" s="2" t="s">
        <v>20</v>
      </c>
      <c r="H176" s="2" t="s">
        <v>86</v>
      </c>
      <c r="I176" s="4">
        <v>9</v>
      </c>
      <c r="J176" s="5">
        <v>11800</v>
      </c>
      <c r="K176" s="6">
        <v>0.05</v>
      </c>
      <c r="L176" s="2" t="s">
        <v>29</v>
      </c>
      <c r="M176" s="2" t="s">
        <v>48</v>
      </c>
      <c r="N176" s="5">
        <f t="shared" si="6"/>
        <v>106200</v>
      </c>
      <c r="O176" s="5">
        <f t="shared" si="7"/>
        <v>5310</v>
      </c>
      <c r="P176" s="5">
        <f t="shared" si="8"/>
        <v>100890</v>
      </c>
    </row>
    <row r="177" spans="1:16" x14ac:dyDescent="0.25">
      <c r="A177" s="2" t="s">
        <v>289</v>
      </c>
      <c r="B177" s="3">
        <v>45883</v>
      </c>
      <c r="C177" s="2" t="s">
        <v>157</v>
      </c>
      <c r="D177" s="2" t="s">
        <v>18</v>
      </c>
      <c r="E177" s="4">
        <v>43</v>
      </c>
      <c r="F177" s="2" t="s">
        <v>34</v>
      </c>
      <c r="G177" s="2" t="s">
        <v>35</v>
      </c>
      <c r="H177" s="2" t="s">
        <v>55</v>
      </c>
      <c r="I177" s="4">
        <v>7</v>
      </c>
      <c r="J177" s="5">
        <v>5700</v>
      </c>
      <c r="K177" s="6">
        <v>0.15</v>
      </c>
      <c r="L177" s="2" t="s">
        <v>29</v>
      </c>
      <c r="M177" s="2" t="s">
        <v>48</v>
      </c>
      <c r="N177" s="5">
        <f t="shared" si="6"/>
        <v>39900</v>
      </c>
      <c r="O177" s="5">
        <f t="shared" si="7"/>
        <v>5985</v>
      </c>
      <c r="P177" s="5">
        <f t="shared" si="8"/>
        <v>33915</v>
      </c>
    </row>
    <row r="178" spans="1:16" x14ac:dyDescent="0.25">
      <c r="A178" s="2" t="s">
        <v>290</v>
      </c>
      <c r="B178" s="3">
        <v>45914</v>
      </c>
      <c r="C178" s="2" t="s">
        <v>237</v>
      </c>
      <c r="D178" s="2" t="s">
        <v>18</v>
      </c>
      <c r="E178" s="4">
        <v>59</v>
      </c>
      <c r="F178" s="2" t="s">
        <v>40</v>
      </c>
      <c r="G178" s="2" t="s">
        <v>51</v>
      </c>
      <c r="H178" s="2" t="s">
        <v>120</v>
      </c>
      <c r="I178" s="4">
        <v>6</v>
      </c>
      <c r="J178" s="5">
        <v>42000</v>
      </c>
      <c r="K178" s="6">
        <v>0.05</v>
      </c>
      <c r="L178" s="2" t="s">
        <v>29</v>
      </c>
      <c r="M178" s="2" t="s">
        <v>30</v>
      </c>
      <c r="N178" s="5">
        <f t="shared" si="6"/>
        <v>252000</v>
      </c>
      <c r="O178" s="5">
        <f t="shared" si="7"/>
        <v>12600</v>
      </c>
      <c r="P178" s="5">
        <f t="shared" si="8"/>
        <v>239400</v>
      </c>
    </row>
    <row r="179" spans="1:16" x14ac:dyDescent="0.25">
      <c r="A179" s="2" t="s">
        <v>291</v>
      </c>
      <c r="B179" s="3">
        <v>45943</v>
      </c>
      <c r="C179" s="2" t="s">
        <v>145</v>
      </c>
      <c r="D179" s="2" t="s">
        <v>33</v>
      </c>
      <c r="E179" s="4">
        <v>26</v>
      </c>
      <c r="F179" s="2" t="s">
        <v>100</v>
      </c>
      <c r="G179" s="2" t="s">
        <v>65</v>
      </c>
      <c r="H179" s="2" t="s">
        <v>66</v>
      </c>
      <c r="I179" s="4">
        <v>2</v>
      </c>
      <c r="J179" s="5">
        <v>5900</v>
      </c>
      <c r="K179" s="6">
        <v>0.2</v>
      </c>
      <c r="L179" s="2" t="s">
        <v>22</v>
      </c>
      <c r="M179" s="2" t="s">
        <v>68</v>
      </c>
      <c r="N179" s="5">
        <f t="shared" si="6"/>
        <v>11800</v>
      </c>
      <c r="O179" s="5">
        <f t="shared" si="7"/>
        <v>2360</v>
      </c>
      <c r="P179" s="5">
        <f t="shared" si="8"/>
        <v>9440</v>
      </c>
    </row>
    <row r="180" spans="1:16" x14ac:dyDescent="0.25">
      <c r="A180" s="2" t="s">
        <v>292</v>
      </c>
      <c r="B180" s="3">
        <v>45934</v>
      </c>
      <c r="C180" s="2" t="s">
        <v>99</v>
      </c>
      <c r="D180" s="2" t="s">
        <v>18</v>
      </c>
      <c r="E180" s="4">
        <v>38</v>
      </c>
      <c r="F180" s="2" t="s">
        <v>34</v>
      </c>
      <c r="G180" s="2" t="s">
        <v>27</v>
      </c>
      <c r="H180" s="2" t="s">
        <v>81</v>
      </c>
      <c r="I180" s="4">
        <v>5</v>
      </c>
      <c r="J180" s="5">
        <v>138000</v>
      </c>
      <c r="K180" s="6">
        <v>0.02</v>
      </c>
      <c r="L180" s="2" t="s">
        <v>47</v>
      </c>
      <c r="M180" s="2" t="s">
        <v>60</v>
      </c>
      <c r="N180" s="5">
        <f t="shared" si="6"/>
        <v>690000</v>
      </c>
      <c r="O180" s="5">
        <f t="shared" si="7"/>
        <v>13800</v>
      </c>
      <c r="P180" s="5">
        <f t="shared" si="8"/>
        <v>676200</v>
      </c>
    </row>
    <row r="181" spans="1:16" x14ac:dyDescent="0.25">
      <c r="A181" s="2" t="s">
        <v>293</v>
      </c>
      <c r="B181" s="3">
        <v>46175</v>
      </c>
      <c r="C181" s="2" t="s">
        <v>168</v>
      </c>
      <c r="D181" s="2" t="s">
        <v>33</v>
      </c>
      <c r="E181" s="4">
        <v>35</v>
      </c>
      <c r="F181" s="2" t="s">
        <v>26</v>
      </c>
      <c r="G181" s="2" t="s">
        <v>35</v>
      </c>
      <c r="H181" s="2" t="s">
        <v>74</v>
      </c>
      <c r="I181" s="4">
        <v>2</v>
      </c>
      <c r="J181" s="5">
        <v>4200</v>
      </c>
      <c r="K181" s="6">
        <v>0.2</v>
      </c>
      <c r="L181" s="2" t="s">
        <v>29</v>
      </c>
      <c r="M181" s="2" t="s">
        <v>94</v>
      </c>
      <c r="N181" s="5">
        <f t="shared" si="6"/>
        <v>8400</v>
      </c>
      <c r="O181" s="5">
        <f t="shared" si="7"/>
        <v>1680</v>
      </c>
      <c r="P181" s="5">
        <f t="shared" si="8"/>
        <v>6720</v>
      </c>
    </row>
    <row r="182" spans="1:16" x14ac:dyDescent="0.25">
      <c r="A182" s="2" t="s">
        <v>294</v>
      </c>
      <c r="B182" s="3">
        <v>46153</v>
      </c>
      <c r="C182" s="2" t="s">
        <v>44</v>
      </c>
      <c r="D182" s="2" t="s">
        <v>18</v>
      </c>
      <c r="E182" s="4">
        <v>27</v>
      </c>
      <c r="F182" s="2" t="s">
        <v>26</v>
      </c>
      <c r="G182" s="2" t="s">
        <v>35</v>
      </c>
      <c r="H182" s="2" t="s">
        <v>74</v>
      </c>
      <c r="I182" s="4">
        <v>1</v>
      </c>
      <c r="J182" s="5">
        <v>4300</v>
      </c>
      <c r="K182" s="6">
        <v>0</v>
      </c>
      <c r="L182" s="2" t="s">
        <v>22</v>
      </c>
      <c r="M182" s="2" t="s">
        <v>56</v>
      </c>
      <c r="N182" s="5">
        <f t="shared" si="6"/>
        <v>4300</v>
      </c>
      <c r="O182" s="5">
        <f t="shared" si="7"/>
        <v>0</v>
      </c>
      <c r="P182" s="5">
        <f t="shared" si="8"/>
        <v>4300</v>
      </c>
    </row>
    <row r="183" spans="1:16" x14ac:dyDescent="0.25">
      <c r="A183" s="2" t="s">
        <v>295</v>
      </c>
      <c r="B183" s="3">
        <v>46178</v>
      </c>
      <c r="C183" s="2" t="s">
        <v>145</v>
      </c>
      <c r="D183" s="2" t="s">
        <v>33</v>
      </c>
      <c r="E183" s="4">
        <v>54</v>
      </c>
      <c r="F183" s="2" t="s">
        <v>19</v>
      </c>
      <c r="G183" s="2" t="s">
        <v>35</v>
      </c>
      <c r="H183" s="2" t="s">
        <v>36</v>
      </c>
      <c r="I183" s="4">
        <v>10</v>
      </c>
      <c r="J183" s="5">
        <v>4600</v>
      </c>
      <c r="K183" s="6">
        <v>0.15</v>
      </c>
      <c r="L183" s="2" t="s">
        <v>29</v>
      </c>
      <c r="M183" s="2" t="s">
        <v>56</v>
      </c>
      <c r="N183" s="5">
        <f t="shared" si="6"/>
        <v>46000</v>
      </c>
      <c r="O183" s="5">
        <f t="shared" si="7"/>
        <v>6900</v>
      </c>
      <c r="P183" s="5">
        <f t="shared" si="8"/>
        <v>39100</v>
      </c>
    </row>
    <row r="184" spans="1:16" x14ac:dyDescent="0.25">
      <c r="A184" s="2" t="s">
        <v>296</v>
      </c>
      <c r="B184" s="3">
        <v>46104</v>
      </c>
      <c r="C184" s="2" t="s">
        <v>247</v>
      </c>
      <c r="D184" s="2" t="s">
        <v>33</v>
      </c>
      <c r="E184" s="4">
        <v>52</v>
      </c>
      <c r="F184" s="2" t="s">
        <v>19</v>
      </c>
      <c r="G184" s="2" t="s">
        <v>35</v>
      </c>
      <c r="H184" s="2" t="s">
        <v>74</v>
      </c>
      <c r="I184" s="4">
        <v>4</v>
      </c>
      <c r="J184" s="5">
        <v>4000</v>
      </c>
      <c r="K184" s="6">
        <v>0.15</v>
      </c>
      <c r="L184" s="2" t="s">
        <v>47</v>
      </c>
      <c r="M184" s="2" t="s">
        <v>23</v>
      </c>
      <c r="N184" s="5">
        <f t="shared" si="6"/>
        <v>16000</v>
      </c>
      <c r="O184" s="5">
        <f t="shared" si="7"/>
        <v>2400</v>
      </c>
      <c r="P184" s="5">
        <f t="shared" si="8"/>
        <v>13600</v>
      </c>
    </row>
    <row r="185" spans="1:16" x14ac:dyDescent="0.25">
      <c r="A185" s="2" t="s">
        <v>297</v>
      </c>
      <c r="B185" s="3">
        <v>45887</v>
      </c>
      <c r="C185" s="2" t="s">
        <v>70</v>
      </c>
      <c r="D185" s="2" t="s">
        <v>18</v>
      </c>
      <c r="E185" s="4">
        <v>21</v>
      </c>
      <c r="F185" s="2" t="s">
        <v>26</v>
      </c>
      <c r="G185" s="2" t="s">
        <v>51</v>
      </c>
      <c r="H185" s="2" t="s">
        <v>120</v>
      </c>
      <c r="I185" s="4">
        <v>8</v>
      </c>
      <c r="J185" s="5">
        <v>40900</v>
      </c>
      <c r="K185" s="6">
        <v>7.0000000000000007E-2</v>
      </c>
      <c r="L185" s="2" t="s">
        <v>47</v>
      </c>
      <c r="M185" s="2" t="s">
        <v>30</v>
      </c>
      <c r="N185" s="5">
        <f t="shared" si="6"/>
        <v>327200</v>
      </c>
      <c r="O185" s="5">
        <f t="shared" si="7"/>
        <v>22904.000000000004</v>
      </c>
      <c r="P185" s="5">
        <f t="shared" si="8"/>
        <v>304296</v>
      </c>
    </row>
    <row r="186" spans="1:16" x14ac:dyDescent="0.25">
      <c r="A186" s="2" t="s">
        <v>298</v>
      </c>
      <c r="B186" s="3">
        <v>45923</v>
      </c>
      <c r="C186" s="2" t="s">
        <v>237</v>
      </c>
      <c r="D186" s="2" t="s">
        <v>18</v>
      </c>
      <c r="E186" s="4">
        <v>63</v>
      </c>
      <c r="F186" s="2" t="s">
        <v>19</v>
      </c>
      <c r="G186" s="2" t="s">
        <v>35</v>
      </c>
      <c r="H186" s="2" t="s">
        <v>74</v>
      </c>
      <c r="I186" s="4">
        <v>3</v>
      </c>
      <c r="J186" s="5">
        <v>3600</v>
      </c>
      <c r="K186" s="6">
        <v>0.12</v>
      </c>
      <c r="L186" s="2" t="s">
        <v>29</v>
      </c>
      <c r="M186" s="2" t="s">
        <v>42</v>
      </c>
      <c r="N186" s="5">
        <f t="shared" si="6"/>
        <v>10800</v>
      </c>
      <c r="O186" s="5">
        <f t="shared" si="7"/>
        <v>1296</v>
      </c>
      <c r="P186" s="5">
        <f t="shared" si="8"/>
        <v>9504</v>
      </c>
    </row>
    <row r="187" spans="1:16" x14ac:dyDescent="0.25">
      <c r="A187" s="2" t="s">
        <v>299</v>
      </c>
      <c r="B187" s="3">
        <v>45904</v>
      </c>
      <c r="C187" s="2" t="s">
        <v>237</v>
      </c>
      <c r="D187" s="2" t="s">
        <v>18</v>
      </c>
      <c r="E187" s="4">
        <v>33</v>
      </c>
      <c r="F187" s="2" t="s">
        <v>100</v>
      </c>
      <c r="G187" s="2" t="s">
        <v>45</v>
      </c>
      <c r="H187" s="2" t="s">
        <v>187</v>
      </c>
      <c r="I187" s="4">
        <v>4</v>
      </c>
      <c r="J187" s="5">
        <v>118900</v>
      </c>
      <c r="K187" s="6">
        <v>0.05</v>
      </c>
      <c r="L187" s="2" t="s">
        <v>22</v>
      </c>
      <c r="M187" s="2" t="s">
        <v>56</v>
      </c>
      <c r="N187" s="5">
        <f t="shared" si="6"/>
        <v>475600</v>
      </c>
      <c r="O187" s="5">
        <f t="shared" si="7"/>
        <v>23780</v>
      </c>
      <c r="P187" s="5">
        <f t="shared" si="8"/>
        <v>451820</v>
      </c>
    </row>
    <row r="188" spans="1:16" x14ac:dyDescent="0.25">
      <c r="A188" s="2" t="s">
        <v>300</v>
      </c>
      <c r="B188" s="3">
        <v>45998</v>
      </c>
      <c r="C188" s="2" t="s">
        <v>137</v>
      </c>
      <c r="D188" s="2" t="s">
        <v>33</v>
      </c>
      <c r="E188" s="4">
        <v>57</v>
      </c>
      <c r="F188" s="2" t="s">
        <v>100</v>
      </c>
      <c r="G188" s="2" t="s">
        <v>27</v>
      </c>
      <c r="H188" s="2" t="s">
        <v>41</v>
      </c>
      <c r="I188" s="4">
        <v>10</v>
      </c>
      <c r="J188" s="5">
        <v>132900</v>
      </c>
      <c r="K188" s="6">
        <v>0.12</v>
      </c>
      <c r="L188" s="2" t="s">
        <v>22</v>
      </c>
      <c r="M188" s="2" t="s">
        <v>94</v>
      </c>
      <c r="N188" s="5">
        <f t="shared" si="6"/>
        <v>1329000</v>
      </c>
      <c r="O188" s="5">
        <f t="shared" si="7"/>
        <v>159480</v>
      </c>
      <c r="P188" s="5">
        <f t="shared" si="8"/>
        <v>1169520</v>
      </c>
    </row>
    <row r="189" spans="1:16" x14ac:dyDescent="0.25">
      <c r="A189" s="2" t="s">
        <v>301</v>
      </c>
      <c r="B189" s="3">
        <v>46105</v>
      </c>
      <c r="C189" s="2" t="s">
        <v>218</v>
      </c>
      <c r="D189" s="2" t="s">
        <v>33</v>
      </c>
      <c r="E189" s="4">
        <v>47</v>
      </c>
      <c r="F189" s="2" t="s">
        <v>100</v>
      </c>
      <c r="G189" s="2" t="s">
        <v>20</v>
      </c>
      <c r="H189" s="2" t="s">
        <v>108</v>
      </c>
      <c r="I189" s="4">
        <v>2</v>
      </c>
      <c r="J189" s="5">
        <v>35800</v>
      </c>
      <c r="K189" s="6">
        <v>0.15</v>
      </c>
      <c r="L189" s="2" t="s">
        <v>29</v>
      </c>
      <c r="M189" s="2" t="s">
        <v>23</v>
      </c>
      <c r="N189" s="5">
        <f t="shared" si="6"/>
        <v>71600</v>
      </c>
      <c r="O189" s="5">
        <f t="shared" si="7"/>
        <v>10740</v>
      </c>
      <c r="P189" s="5">
        <f t="shared" si="8"/>
        <v>60860</v>
      </c>
    </row>
    <row r="190" spans="1:16" x14ac:dyDescent="0.25">
      <c r="A190" s="2" t="s">
        <v>302</v>
      </c>
      <c r="B190" s="3">
        <v>45973</v>
      </c>
      <c r="C190" s="2" t="s">
        <v>32</v>
      </c>
      <c r="D190" s="2" t="s">
        <v>33</v>
      </c>
      <c r="E190" s="4">
        <v>55</v>
      </c>
      <c r="F190" s="2" t="s">
        <v>19</v>
      </c>
      <c r="G190" s="2" t="s">
        <v>45</v>
      </c>
      <c r="H190" s="2" t="s">
        <v>46</v>
      </c>
      <c r="I190" s="4">
        <v>8</v>
      </c>
      <c r="J190" s="5">
        <v>181900</v>
      </c>
      <c r="K190" s="6">
        <v>0.18</v>
      </c>
      <c r="L190" s="2" t="s">
        <v>47</v>
      </c>
      <c r="M190" s="2" t="s">
        <v>42</v>
      </c>
      <c r="N190" s="5">
        <f t="shared" si="6"/>
        <v>1455200</v>
      </c>
      <c r="O190" s="5">
        <f t="shared" si="7"/>
        <v>261936</v>
      </c>
      <c r="P190" s="5">
        <f t="shared" si="8"/>
        <v>1193264</v>
      </c>
    </row>
    <row r="191" spans="1:16" x14ac:dyDescent="0.25">
      <c r="A191" s="2" t="s">
        <v>303</v>
      </c>
      <c r="B191" s="3">
        <v>45854</v>
      </c>
      <c r="C191" s="2" t="s">
        <v>64</v>
      </c>
      <c r="D191" s="2" t="s">
        <v>33</v>
      </c>
      <c r="E191" s="4">
        <v>45</v>
      </c>
      <c r="F191" s="2" t="s">
        <v>26</v>
      </c>
      <c r="G191" s="2" t="s">
        <v>20</v>
      </c>
      <c r="H191" s="2" t="s">
        <v>86</v>
      </c>
      <c r="I191" s="4">
        <v>7</v>
      </c>
      <c r="J191" s="5">
        <v>14300</v>
      </c>
      <c r="K191" s="6">
        <v>0.12</v>
      </c>
      <c r="L191" s="2" t="s">
        <v>22</v>
      </c>
      <c r="M191" s="2" t="s">
        <v>112</v>
      </c>
      <c r="N191" s="5">
        <f t="shared" si="6"/>
        <v>100100</v>
      </c>
      <c r="O191" s="5">
        <f t="shared" si="7"/>
        <v>12012</v>
      </c>
      <c r="P191" s="5">
        <f t="shared" si="8"/>
        <v>88088</v>
      </c>
    </row>
    <row r="192" spans="1:16" x14ac:dyDescent="0.25">
      <c r="A192" s="2" t="s">
        <v>304</v>
      </c>
      <c r="B192" s="3">
        <v>45876</v>
      </c>
      <c r="C192" s="2" t="s">
        <v>118</v>
      </c>
      <c r="D192" s="2" t="s">
        <v>33</v>
      </c>
      <c r="E192" s="4">
        <v>53</v>
      </c>
      <c r="F192" s="2" t="s">
        <v>26</v>
      </c>
      <c r="G192" s="2" t="s">
        <v>20</v>
      </c>
      <c r="H192" s="2" t="s">
        <v>86</v>
      </c>
      <c r="I192" s="4">
        <v>7</v>
      </c>
      <c r="J192" s="5">
        <v>8600</v>
      </c>
      <c r="K192" s="6">
        <v>0.2</v>
      </c>
      <c r="L192" s="2" t="s">
        <v>47</v>
      </c>
      <c r="M192" s="2" t="s">
        <v>42</v>
      </c>
      <c r="N192" s="5">
        <f t="shared" si="6"/>
        <v>60200</v>
      </c>
      <c r="O192" s="5">
        <f t="shared" si="7"/>
        <v>12040</v>
      </c>
      <c r="P192" s="5">
        <f t="shared" si="8"/>
        <v>48160</v>
      </c>
    </row>
    <row r="193" spans="1:16" x14ac:dyDescent="0.25">
      <c r="A193" s="2" t="s">
        <v>305</v>
      </c>
      <c r="B193" s="3">
        <v>45993</v>
      </c>
      <c r="C193" s="2" t="s">
        <v>229</v>
      </c>
      <c r="D193" s="2" t="s">
        <v>18</v>
      </c>
      <c r="E193" s="4">
        <v>61</v>
      </c>
      <c r="F193" s="2" t="s">
        <v>71</v>
      </c>
      <c r="G193" s="2" t="s">
        <v>45</v>
      </c>
      <c r="H193" s="2" t="s">
        <v>101</v>
      </c>
      <c r="I193" s="4">
        <v>7</v>
      </c>
      <c r="J193" s="5">
        <v>11200</v>
      </c>
      <c r="K193" s="6">
        <v>0.12</v>
      </c>
      <c r="L193" s="2" t="s">
        <v>47</v>
      </c>
      <c r="M193" s="2" t="s">
        <v>42</v>
      </c>
      <c r="N193" s="5">
        <f t="shared" si="6"/>
        <v>78400</v>
      </c>
      <c r="O193" s="5">
        <f t="shared" si="7"/>
        <v>9408</v>
      </c>
      <c r="P193" s="5">
        <f t="shared" si="8"/>
        <v>68992</v>
      </c>
    </row>
    <row r="194" spans="1:16" x14ac:dyDescent="0.25">
      <c r="A194" s="2" t="s">
        <v>306</v>
      </c>
      <c r="B194" s="3">
        <v>46037</v>
      </c>
      <c r="C194" s="2" t="s">
        <v>25</v>
      </c>
      <c r="D194" s="2" t="s">
        <v>18</v>
      </c>
      <c r="E194" s="4">
        <v>27</v>
      </c>
      <c r="F194" s="2" t="s">
        <v>26</v>
      </c>
      <c r="G194" s="2" t="s">
        <v>65</v>
      </c>
      <c r="H194" s="2" t="s">
        <v>129</v>
      </c>
      <c r="I194" s="4">
        <v>1</v>
      </c>
      <c r="J194" s="5">
        <v>18200</v>
      </c>
      <c r="K194" s="6">
        <v>0</v>
      </c>
      <c r="L194" s="2" t="s">
        <v>22</v>
      </c>
      <c r="M194" s="2" t="s">
        <v>94</v>
      </c>
      <c r="N194" s="5">
        <f t="shared" ref="N194:N257" si="9">I194*J194</f>
        <v>18200</v>
      </c>
      <c r="O194" s="5">
        <f t="shared" ref="O194:O257" si="10">N194*K194</f>
        <v>0</v>
      </c>
      <c r="P194" s="5">
        <f t="shared" ref="P194:P257" si="11">N194-O194</f>
        <v>18200</v>
      </c>
    </row>
    <row r="195" spans="1:16" x14ac:dyDescent="0.25">
      <c r="A195" s="2" t="s">
        <v>307</v>
      </c>
      <c r="B195" s="3">
        <v>46215</v>
      </c>
      <c r="C195" s="2" t="s">
        <v>177</v>
      </c>
      <c r="D195" s="2" t="s">
        <v>18</v>
      </c>
      <c r="E195" s="4">
        <v>48</v>
      </c>
      <c r="F195" s="2" t="s">
        <v>71</v>
      </c>
      <c r="G195" s="2" t="s">
        <v>51</v>
      </c>
      <c r="H195" s="2" t="s">
        <v>52</v>
      </c>
      <c r="I195" s="4">
        <v>9</v>
      </c>
      <c r="J195" s="5">
        <v>248900</v>
      </c>
      <c r="K195" s="6">
        <v>0.05</v>
      </c>
      <c r="L195" s="2" t="s">
        <v>47</v>
      </c>
      <c r="M195" s="2" t="s">
        <v>30</v>
      </c>
      <c r="N195" s="5">
        <f t="shared" si="9"/>
        <v>2240100</v>
      </c>
      <c r="O195" s="5">
        <f t="shared" si="10"/>
        <v>112005</v>
      </c>
      <c r="P195" s="5">
        <f t="shared" si="11"/>
        <v>2128095</v>
      </c>
    </row>
    <row r="196" spans="1:16" x14ac:dyDescent="0.25">
      <c r="A196" s="2" t="s">
        <v>308</v>
      </c>
      <c r="B196" s="3">
        <v>46013</v>
      </c>
      <c r="C196" s="2" t="s">
        <v>99</v>
      </c>
      <c r="D196" s="2" t="s">
        <v>18</v>
      </c>
      <c r="E196" s="4">
        <v>43</v>
      </c>
      <c r="F196" s="2" t="s">
        <v>71</v>
      </c>
      <c r="G196" s="2" t="s">
        <v>35</v>
      </c>
      <c r="H196" s="2" t="s">
        <v>74</v>
      </c>
      <c r="I196" s="4">
        <v>6</v>
      </c>
      <c r="J196" s="5">
        <v>4400</v>
      </c>
      <c r="K196" s="6">
        <v>0.2</v>
      </c>
      <c r="L196" s="2" t="s">
        <v>29</v>
      </c>
      <c r="M196" s="2" t="s">
        <v>42</v>
      </c>
      <c r="N196" s="5">
        <f t="shared" si="9"/>
        <v>26400</v>
      </c>
      <c r="O196" s="5">
        <f t="shared" si="10"/>
        <v>5280</v>
      </c>
      <c r="P196" s="5">
        <f t="shared" si="11"/>
        <v>21120</v>
      </c>
    </row>
    <row r="197" spans="1:16" x14ac:dyDescent="0.25">
      <c r="A197" s="2" t="s">
        <v>309</v>
      </c>
      <c r="B197" s="3">
        <v>46100</v>
      </c>
      <c r="C197" s="2" t="s">
        <v>182</v>
      </c>
      <c r="D197" s="2" t="s">
        <v>18</v>
      </c>
      <c r="E197" s="4">
        <v>54</v>
      </c>
      <c r="F197" s="2" t="s">
        <v>19</v>
      </c>
      <c r="G197" s="2" t="s">
        <v>51</v>
      </c>
      <c r="H197" s="2" t="s">
        <v>111</v>
      </c>
      <c r="I197" s="4">
        <v>6</v>
      </c>
      <c r="J197" s="5">
        <v>346600</v>
      </c>
      <c r="K197" s="6">
        <v>0.02</v>
      </c>
      <c r="L197" s="2" t="s">
        <v>47</v>
      </c>
      <c r="M197" s="2" t="s">
        <v>30</v>
      </c>
      <c r="N197" s="5">
        <f t="shared" si="9"/>
        <v>2079600</v>
      </c>
      <c r="O197" s="5">
        <f t="shared" si="10"/>
        <v>41592</v>
      </c>
      <c r="P197" s="5">
        <f t="shared" si="11"/>
        <v>2038008</v>
      </c>
    </row>
    <row r="198" spans="1:16" x14ac:dyDescent="0.25">
      <c r="A198" s="2" t="s">
        <v>310</v>
      </c>
      <c r="B198" s="3">
        <v>46007</v>
      </c>
      <c r="C198" s="2" t="s">
        <v>311</v>
      </c>
      <c r="D198" s="2" t="s">
        <v>33</v>
      </c>
      <c r="E198" s="4">
        <v>62</v>
      </c>
      <c r="F198" s="2" t="s">
        <v>34</v>
      </c>
      <c r="G198" s="2" t="s">
        <v>45</v>
      </c>
      <c r="H198" s="2" t="s">
        <v>59</v>
      </c>
      <c r="I198" s="4">
        <v>10</v>
      </c>
      <c r="J198" s="5">
        <v>14200</v>
      </c>
      <c r="K198" s="6">
        <v>7.0000000000000007E-2</v>
      </c>
      <c r="L198" s="2" t="s">
        <v>29</v>
      </c>
      <c r="M198" s="2" t="s">
        <v>56</v>
      </c>
      <c r="N198" s="5">
        <f t="shared" si="9"/>
        <v>142000</v>
      </c>
      <c r="O198" s="5">
        <f t="shared" si="10"/>
        <v>9940.0000000000018</v>
      </c>
      <c r="P198" s="5">
        <f t="shared" si="11"/>
        <v>132060</v>
      </c>
    </row>
    <row r="199" spans="1:16" x14ac:dyDescent="0.25">
      <c r="A199" s="2" t="s">
        <v>312</v>
      </c>
      <c r="B199" s="3">
        <v>46148</v>
      </c>
      <c r="C199" s="2" t="s">
        <v>155</v>
      </c>
      <c r="D199" s="2" t="s">
        <v>18</v>
      </c>
      <c r="E199" s="4">
        <v>28</v>
      </c>
      <c r="F199" s="2" t="s">
        <v>71</v>
      </c>
      <c r="G199" s="2" t="s">
        <v>35</v>
      </c>
      <c r="H199" s="2" t="s">
        <v>55</v>
      </c>
      <c r="I199" s="4">
        <v>4</v>
      </c>
      <c r="J199" s="5">
        <v>4100</v>
      </c>
      <c r="K199" s="6">
        <v>0</v>
      </c>
      <c r="L199" s="2" t="s">
        <v>29</v>
      </c>
      <c r="M199" s="2" t="s">
        <v>48</v>
      </c>
      <c r="N199" s="5">
        <f t="shared" si="9"/>
        <v>16400</v>
      </c>
      <c r="O199" s="5">
        <f t="shared" si="10"/>
        <v>0</v>
      </c>
      <c r="P199" s="5">
        <f t="shared" si="11"/>
        <v>16400</v>
      </c>
    </row>
    <row r="200" spans="1:16" x14ac:dyDescent="0.25">
      <c r="A200" s="2" t="s">
        <v>313</v>
      </c>
      <c r="B200" s="3">
        <v>45947</v>
      </c>
      <c r="C200" s="2" t="s">
        <v>17</v>
      </c>
      <c r="D200" s="2" t="s">
        <v>18</v>
      </c>
      <c r="E200" s="4">
        <v>46</v>
      </c>
      <c r="F200" s="2" t="s">
        <v>19</v>
      </c>
      <c r="G200" s="2" t="s">
        <v>51</v>
      </c>
      <c r="H200" s="2" t="s">
        <v>52</v>
      </c>
      <c r="I200" s="4">
        <v>4</v>
      </c>
      <c r="J200" s="5">
        <v>198300</v>
      </c>
      <c r="K200" s="6">
        <v>0.15</v>
      </c>
      <c r="L200" s="2" t="s">
        <v>29</v>
      </c>
      <c r="M200" s="2" t="s">
        <v>30</v>
      </c>
      <c r="N200" s="5">
        <f t="shared" si="9"/>
        <v>793200</v>
      </c>
      <c r="O200" s="5">
        <f t="shared" si="10"/>
        <v>118980</v>
      </c>
      <c r="P200" s="5">
        <f t="shared" si="11"/>
        <v>674220</v>
      </c>
    </row>
    <row r="201" spans="1:16" x14ac:dyDescent="0.25">
      <c r="A201" s="2" t="s">
        <v>314</v>
      </c>
      <c r="B201" s="3">
        <v>46091</v>
      </c>
      <c r="C201" s="2" t="s">
        <v>73</v>
      </c>
      <c r="D201" s="2" t="s">
        <v>18</v>
      </c>
      <c r="E201" s="4">
        <v>64</v>
      </c>
      <c r="F201" s="2" t="s">
        <v>40</v>
      </c>
      <c r="G201" s="2" t="s">
        <v>35</v>
      </c>
      <c r="H201" s="2" t="s">
        <v>36</v>
      </c>
      <c r="I201" s="4">
        <v>4</v>
      </c>
      <c r="J201" s="5">
        <v>4100</v>
      </c>
      <c r="K201" s="6">
        <v>0.2</v>
      </c>
      <c r="L201" s="2" t="s">
        <v>47</v>
      </c>
      <c r="M201" s="2" t="s">
        <v>23</v>
      </c>
      <c r="N201" s="5">
        <f t="shared" si="9"/>
        <v>16400</v>
      </c>
      <c r="O201" s="5">
        <f t="shared" si="10"/>
        <v>3280</v>
      </c>
      <c r="P201" s="5">
        <f t="shared" si="11"/>
        <v>13120</v>
      </c>
    </row>
    <row r="202" spans="1:16" x14ac:dyDescent="0.25">
      <c r="A202" s="2" t="s">
        <v>315</v>
      </c>
      <c r="B202" s="3">
        <v>46119</v>
      </c>
      <c r="C202" s="2" t="s">
        <v>137</v>
      </c>
      <c r="D202" s="2" t="s">
        <v>33</v>
      </c>
      <c r="E202" s="4">
        <v>38</v>
      </c>
      <c r="F202" s="2" t="s">
        <v>26</v>
      </c>
      <c r="G202" s="2" t="s">
        <v>51</v>
      </c>
      <c r="H202" s="2" t="s">
        <v>92</v>
      </c>
      <c r="I202" s="4">
        <v>6</v>
      </c>
      <c r="J202" s="5">
        <v>24000</v>
      </c>
      <c r="K202" s="6">
        <v>0.1</v>
      </c>
      <c r="L202" s="2" t="s">
        <v>29</v>
      </c>
      <c r="M202" s="2" t="s">
        <v>23</v>
      </c>
      <c r="N202" s="5">
        <f t="shared" si="9"/>
        <v>144000</v>
      </c>
      <c r="O202" s="5">
        <f t="shared" si="10"/>
        <v>14400</v>
      </c>
      <c r="P202" s="5">
        <f t="shared" si="11"/>
        <v>129600</v>
      </c>
    </row>
    <row r="203" spans="1:16" x14ac:dyDescent="0.25">
      <c r="A203" s="2" t="s">
        <v>316</v>
      </c>
      <c r="B203" s="3">
        <v>45948</v>
      </c>
      <c r="C203" s="2" t="s">
        <v>50</v>
      </c>
      <c r="D203" s="2" t="s">
        <v>33</v>
      </c>
      <c r="E203" s="4">
        <v>35</v>
      </c>
      <c r="F203" s="2" t="s">
        <v>71</v>
      </c>
      <c r="G203" s="2" t="s">
        <v>20</v>
      </c>
      <c r="H203" s="2" t="s">
        <v>21</v>
      </c>
      <c r="I203" s="4">
        <v>5</v>
      </c>
      <c r="J203" s="5">
        <v>3400</v>
      </c>
      <c r="K203" s="6">
        <v>0.1</v>
      </c>
      <c r="L203" s="2" t="s">
        <v>29</v>
      </c>
      <c r="M203" s="2" t="s">
        <v>60</v>
      </c>
      <c r="N203" s="5">
        <f t="shared" si="9"/>
        <v>17000</v>
      </c>
      <c r="O203" s="5">
        <f t="shared" si="10"/>
        <v>1700</v>
      </c>
      <c r="P203" s="5">
        <f t="shared" si="11"/>
        <v>15300</v>
      </c>
    </row>
    <row r="204" spans="1:16" x14ac:dyDescent="0.25">
      <c r="A204" s="2" t="s">
        <v>317</v>
      </c>
      <c r="B204" s="3">
        <v>46203</v>
      </c>
      <c r="C204" s="2" t="s">
        <v>182</v>
      </c>
      <c r="D204" s="2" t="s">
        <v>18</v>
      </c>
      <c r="E204" s="4">
        <v>49</v>
      </c>
      <c r="F204" s="2" t="s">
        <v>19</v>
      </c>
      <c r="G204" s="2" t="s">
        <v>51</v>
      </c>
      <c r="H204" s="2" t="s">
        <v>92</v>
      </c>
      <c r="I204" s="4">
        <v>5</v>
      </c>
      <c r="J204" s="5">
        <v>24200</v>
      </c>
      <c r="K204" s="6">
        <v>0.1</v>
      </c>
      <c r="L204" s="2" t="s">
        <v>22</v>
      </c>
      <c r="M204" s="2" t="s">
        <v>30</v>
      </c>
      <c r="N204" s="5">
        <f t="shared" si="9"/>
        <v>121000</v>
      </c>
      <c r="O204" s="5">
        <f t="shared" si="10"/>
        <v>12100</v>
      </c>
      <c r="P204" s="5">
        <f t="shared" si="11"/>
        <v>108900</v>
      </c>
    </row>
    <row r="205" spans="1:16" x14ac:dyDescent="0.25">
      <c r="A205" s="2" t="s">
        <v>318</v>
      </c>
      <c r="B205" s="3">
        <v>46196</v>
      </c>
      <c r="C205" s="2" t="s">
        <v>62</v>
      </c>
      <c r="D205" s="2" t="s">
        <v>18</v>
      </c>
      <c r="E205" s="4">
        <v>42</v>
      </c>
      <c r="F205" s="2" t="s">
        <v>100</v>
      </c>
      <c r="G205" s="2" t="s">
        <v>20</v>
      </c>
      <c r="H205" s="2" t="s">
        <v>21</v>
      </c>
      <c r="I205" s="4">
        <v>1</v>
      </c>
      <c r="J205" s="5">
        <v>2100</v>
      </c>
      <c r="K205" s="6">
        <v>0.1</v>
      </c>
      <c r="L205" s="2" t="s">
        <v>29</v>
      </c>
      <c r="M205" s="2" t="s">
        <v>48</v>
      </c>
      <c r="N205" s="5">
        <f t="shared" si="9"/>
        <v>2100</v>
      </c>
      <c r="O205" s="5">
        <f t="shared" si="10"/>
        <v>210</v>
      </c>
      <c r="P205" s="5">
        <f t="shared" si="11"/>
        <v>1890</v>
      </c>
    </row>
    <row r="206" spans="1:16" x14ac:dyDescent="0.25">
      <c r="A206" s="2" t="s">
        <v>319</v>
      </c>
      <c r="B206" s="3">
        <v>46027</v>
      </c>
      <c r="C206" s="2" t="s">
        <v>245</v>
      </c>
      <c r="D206" s="2" t="s">
        <v>33</v>
      </c>
      <c r="E206" s="4">
        <v>59</v>
      </c>
      <c r="F206" s="2" t="s">
        <v>19</v>
      </c>
      <c r="G206" s="2" t="s">
        <v>35</v>
      </c>
      <c r="H206" s="2" t="s">
        <v>55</v>
      </c>
      <c r="I206" s="4">
        <v>4</v>
      </c>
      <c r="J206" s="5">
        <v>4400</v>
      </c>
      <c r="K206" s="6">
        <v>0.2</v>
      </c>
      <c r="L206" s="2" t="s">
        <v>47</v>
      </c>
      <c r="M206" s="2" t="s">
        <v>42</v>
      </c>
      <c r="N206" s="5">
        <f t="shared" si="9"/>
        <v>17600</v>
      </c>
      <c r="O206" s="5">
        <f t="shared" si="10"/>
        <v>3520</v>
      </c>
      <c r="P206" s="5">
        <f t="shared" si="11"/>
        <v>14080</v>
      </c>
    </row>
    <row r="207" spans="1:16" x14ac:dyDescent="0.25">
      <c r="A207" s="2" t="s">
        <v>320</v>
      </c>
      <c r="B207" s="3">
        <v>46206</v>
      </c>
      <c r="C207" s="2" t="s">
        <v>214</v>
      </c>
      <c r="D207" s="2" t="s">
        <v>18</v>
      </c>
      <c r="E207" s="4">
        <v>26</v>
      </c>
      <c r="F207" s="2" t="s">
        <v>40</v>
      </c>
      <c r="G207" s="2" t="s">
        <v>65</v>
      </c>
      <c r="H207" s="2" t="s">
        <v>90</v>
      </c>
      <c r="I207" s="4">
        <v>1</v>
      </c>
      <c r="J207" s="5">
        <v>15900</v>
      </c>
      <c r="K207" s="6">
        <v>0.2</v>
      </c>
      <c r="L207" s="2" t="s">
        <v>22</v>
      </c>
      <c r="M207" s="2" t="s">
        <v>60</v>
      </c>
      <c r="N207" s="5">
        <f t="shared" si="9"/>
        <v>15900</v>
      </c>
      <c r="O207" s="5">
        <f t="shared" si="10"/>
        <v>3180</v>
      </c>
      <c r="P207" s="5">
        <f t="shared" si="11"/>
        <v>12720</v>
      </c>
    </row>
    <row r="208" spans="1:16" x14ac:dyDescent="0.25">
      <c r="A208" s="2" t="s">
        <v>321</v>
      </c>
      <c r="B208" s="3">
        <v>45876</v>
      </c>
      <c r="C208" s="2" t="s">
        <v>64</v>
      </c>
      <c r="D208" s="2" t="s">
        <v>33</v>
      </c>
      <c r="E208" s="4">
        <v>44</v>
      </c>
      <c r="F208" s="2" t="s">
        <v>19</v>
      </c>
      <c r="G208" s="2" t="s">
        <v>35</v>
      </c>
      <c r="H208" s="2" t="s">
        <v>55</v>
      </c>
      <c r="I208" s="4">
        <v>3</v>
      </c>
      <c r="J208" s="5">
        <v>3900</v>
      </c>
      <c r="K208" s="6">
        <v>0</v>
      </c>
      <c r="L208" s="2" t="s">
        <v>29</v>
      </c>
      <c r="M208" s="2" t="s">
        <v>94</v>
      </c>
      <c r="N208" s="5">
        <f t="shared" si="9"/>
        <v>11700</v>
      </c>
      <c r="O208" s="5">
        <f t="shared" si="10"/>
        <v>0</v>
      </c>
      <c r="P208" s="5">
        <f t="shared" si="11"/>
        <v>11700</v>
      </c>
    </row>
    <row r="209" spans="1:16" x14ac:dyDescent="0.25">
      <c r="A209" s="2" t="s">
        <v>322</v>
      </c>
      <c r="B209" s="3">
        <v>46058</v>
      </c>
      <c r="C209" s="2" t="s">
        <v>58</v>
      </c>
      <c r="D209" s="2" t="s">
        <v>18</v>
      </c>
      <c r="E209" s="4">
        <v>48</v>
      </c>
      <c r="F209" s="2" t="s">
        <v>100</v>
      </c>
      <c r="G209" s="2" t="s">
        <v>35</v>
      </c>
      <c r="H209" s="2" t="s">
        <v>36</v>
      </c>
      <c r="I209" s="4">
        <v>5</v>
      </c>
      <c r="J209" s="5">
        <v>4500</v>
      </c>
      <c r="K209" s="6">
        <v>0.12</v>
      </c>
      <c r="L209" s="2" t="s">
        <v>47</v>
      </c>
      <c r="M209" s="2" t="s">
        <v>56</v>
      </c>
      <c r="N209" s="5">
        <f t="shared" si="9"/>
        <v>22500</v>
      </c>
      <c r="O209" s="5">
        <f t="shared" si="10"/>
        <v>2700</v>
      </c>
      <c r="P209" s="5">
        <f t="shared" si="11"/>
        <v>19800</v>
      </c>
    </row>
    <row r="210" spans="1:16" x14ac:dyDescent="0.25">
      <c r="A210" s="2" t="s">
        <v>323</v>
      </c>
      <c r="B210" s="3">
        <v>45895</v>
      </c>
      <c r="C210" s="2" t="s">
        <v>58</v>
      </c>
      <c r="D210" s="2" t="s">
        <v>18</v>
      </c>
      <c r="E210" s="4">
        <v>54</v>
      </c>
      <c r="F210" s="2" t="s">
        <v>26</v>
      </c>
      <c r="G210" s="2" t="s">
        <v>65</v>
      </c>
      <c r="H210" s="2" t="s">
        <v>66</v>
      </c>
      <c r="I210" s="4">
        <v>7</v>
      </c>
      <c r="J210" s="5">
        <v>3200</v>
      </c>
      <c r="K210" s="6">
        <v>0.05</v>
      </c>
      <c r="L210" s="2" t="s">
        <v>22</v>
      </c>
      <c r="M210" s="2" t="s">
        <v>112</v>
      </c>
      <c r="N210" s="5">
        <f t="shared" si="9"/>
        <v>22400</v>
      </c>
      <c r="O210" s="5">
        <f t="shared" si="10"/>
        <v>1120</v>
      </c>
      <c r="P210" s="5">
        <f t="shared" si="11"/>
        <v>21280</v>
      </c>
    </row>
    <row r="211" spans="1:16" x14ac:dyDescent="0.25">
      <c r="A211" s="2" t="s">
        <v>324</v>
      </c>
      <c r="B211" s="3">
        <v>46103</v>
      </c>
      <c r="C211" s="2" t="s">
        <v>325</v>
      </c>
      <c r="D211" s="2" t="s">
        <v>18</v>
      </c>
      <c r="E211" s="4">
        <v>65</v>
      </c>
      <c r="F211" s="2" t="s">
        <v>19</v>
      </c>
      <c r="G211" s="2" t="s">
        <v>45</v>
      </c>
      <c r="H211" s="2" t="s">
        <v>46</v>
      </c>
      <c r="I211" s="4">
        <v>10</v>
      </c>
      <c r="J211" s="5">
        <v>184100</v>
      </c>
      <c r="K211" s="6">
        <v>0.02</v>
      </c>
      <c r="L211" s="2" t="s">
        <v>47</v>
      </c>
      <c r="M211" s="2" t="s">
        <v>68</v>
      </c>
      <c r="N211" s="5">
        <f t="shared" si="9"/>
        <v>1841000</v>
      </c>
      <c r="O211" s="5">
        <f t="shared" si="10"/>
        <v>36820</v>
      </c>
      <c r="P211" s="5">
        <f t="shared" si="11"/>
        <v>1804180</v>
      </c>
    </row>
    <row r="212" spans="1:16" x14ac:dyDescent="0.25">
      <c r="A212" s="2" t="s">
        <v>326</v>
      </c>
      <c r="B212" s="3">
        <v>46082</v>
      </c>
      <c r="C212" s="2" t="s">
        <v>58</v>
      </c>
      <c r="D212" s="2" t="s">
        <v>18</v>
      </c>
      <c r="E212" s="4">
        <v>52</v>
      </c>
      <c r="F212" s="2" t="s">
        <v>71</v>
      </c>
      <c r="G212" s="2" t="s">
        <v>51</v>
      </c>
      <c r="H212" s="2" t="s">
        <v>52</v>
      </c>
      <c r="I212" s="4">
        <v>8</v>
      </c>
      <c r="J212" s="5">
        <v>222200</v>
      </c>
      <c r="K212" s="6">
        <v>0.1</v>
      </c>
      <c r="L212" s="2" t="s">
        <v>22</v>
      </c>
      <c r="M212" s="2" t="s">
        <v>48</v>
      </c>
      <c r="N212" s="5">
        <f t="shared" si="9"/>
        <v>1777600</v>
      </c>
      <c r="O212" s="5">
        <f t="shared" si="10"/>
        <v>177760</v>
      </c>
      <c r="P212" s="5">
        <f t="shared" si="11"/>
        <v>1599840</v>
      </c>
    </row>
    <row r="213" spans="1:16" x14ac:dyDescent="0.25">
      <c r="A213" s="2" t="s">
        <v>327</v>
      </c>
      <c r="B213" s="3">
        <v>46019</v>
      </c>
      <c r="C213" s="2" t="s">
        <v>99</v>
      </c>
      <c r="D213" s="2" t="s">
        <v>18</v>
      </c>
      <c r="E213" s="4">
        <v>64</v>
      </c>
      <c r="F213" s="2" t="s">
        <v>100</v>
      </c>
      <c r="G213" s="2" t="s">
        <v>35</v>
      </c>
      <c r="H213" s="2" t="s">
        <v>74</v>
      </c>
      <c r="I213" s="4">
        <v>1</v>
      </c>
      <c r="J213" s="5">
        <v>2800</v>
      </c>
      <c r="K213" s="6">
        <v>0.12</v>
      </c>
      <c r="L213" s="2" t="s">
        <v>47</v>
      </c>
      <c r="M213" s="2" t="s">
        <v>30</v>
      </c>
      <c r="N213" s="5">
        <f t="shared" si="9"/>
        <v>2800</v>
      </c>
      <c r="O213" s="5">
        <f t="shared" si="10"/>
        <v>336</v>
      </c>
      <c r="P213" s="5">
        <f t="shared" si="11"/>
        <v>2464</v>
      </c>
    </row>
    <row r="214" spans="1:16" x14ac:dyDescent="0.25">
      <c r="A214" s="2" t="s">
        <v>328</v>
      </c>
      <c r="B214" s="3">
        <v>46195</v>
      </c>
      <c r="C214" s="2" t="s">
        <v>25</v>
      </c>
      <c r="D214" s="2" t="s">
        <v>18</v>
      </c>
      <c r="E214" s="4">
        <v>30</v>
      </c>
      <c r="F214" s="2" t="s">
        <v>26</v>
      </c>
      <c r="G214" s="2" t="s">
        <v>65</v>
      </c>
      <c r="H214" s="2" t="s">
        <v>129</v>
      </c>
      <c r="I214" s="4">
        <v>9</v>
      </c>
      <c r="J214" s="5">
        <v>17000</v>
      </c>
      <c r="K214" s="6">
        <v>0.12</v>
      </c>
      <c r="L214" s="2" t="s">
        <v>22</v>
      </c>
      <c r="M214" s="2" t="s">
        <v>112</v>
      </c>
      <c r="N214" s="5">
        <f t="shared" si="9"/>
        <v>153000</v>
      </c>
      <c r="O214" s="5">
        <f t="shared" si="10"/>
        <v>18360</v>
      </c>
      <c r="P214" s="5">
        <f t="shared" si="11"/>
        <v>134640</v>
      </c>
    </row>
    <row r="215" spans="1:16" x14ac:dyDescent="0.25">
      <c r="A215" s="2" t="s">
        <v>329</v>
      </c>
      <c r="B215" s="3">
        <v>46192</v>
      </c>
      <c r="C215" s="2" t="s">
        <v>64</v>
      </c>
      <c r="D215" s="2" t="s">
        <v>33</v>
      </c>
      <c r="E215" s="4">
        <v>29</v>
      </c>
      <c r="F215" s="2" t="s">
        <v>26</v>
      </c>
      <c r="G215" s="2" t="s">
        <v>51</v>
      </c>
      <c r="H215" s="2" t="s">
        <v>92</v>
      </c>
      <c r="I215" s="4">
        <v>1</v>
      </c>
      <c r="J215" s="5">
        <v>19100</v>
      </c>
      <c r="K215" s="6">
        <v>0.1</v>
      </c>
      <c r="L215" s="2" t="s">
        <v>47</v>
      </c>
      <c r="M215" s="2" t="s">
        <v>60</v>
      </c>
      <c r="N215" s="5">
        <f t="shared" si="9"/>
        <v>19100</v>
      </c>
      <c r="O215" s="5">
        <f t="shared" si="10"/>
        <v>1910</v>
      </c>
      <c r="P215" s="5">
        <f t="shared" si="11"/>
        <v>17190</v>
      </c>
    </row>
    <row r="216" spans="1:16" x14ac:dyDescent="0.25">
      <c r="A216" s="2" t="s">
        <v>330</v>
      </c>
      <c r="B216" s="3">
        <v>46078</v>
      </c>
      <c r="C216" s="2" t="s">
        <v>25</v>
      </c>
      <c r="D216" s="2" t="s">
        <v>18</v>
      </c>
      <c r="E216" s="4">
        <v>35</v>
      </c>
      <c r="F216" s="2" t="s">
        <v>19</v>
      </c>
      <c r="G216" s="2" t="s">
        <v>20</v>
      </c>
      <c r="H216" s="2" t="s">
        <v>114</v>
      </c>
      <c r="I216" s="4">
        <v>6</v>
      </c>
      <c r="J216" s="5">
        <v>3000</v>
      </c>
      <c r="K216" s="6">
        <v>7.0000000000000007E-2</v>
      </c>
      <c r="L216" s="2" t="s">
        <v>22</v>
      </c>
      <c r="M216" s="2" t="s">
        <v>48</v>
      </c>
      <c r="N216" s="5">
        <f t="shared" si="9"/>
        <v>18000</v>
      </c>
      <c r="O216" s="5">
        <f t="shared" si="10"/>
        <v>1260.0000000000002</v>
      </c>
      <c r="P216" s="5">
        <f t="shared" si="11"/>
        <v>16740</v>
      </c>
    </row>
    <row r="217" spans="1:16" x14ac:dyDescent="0.25">
      <c r="A217" s="2" t="s">
        <v>331</v>
      </c>
      <c r="B217" s="3">
        <v>46088</v>
      </c>
      <c r="C217" s="2" t="s">
        <v>157</v>
      </c>
      <c r="D217" s="2" t="s">
        <v>18</v>
      </c>
      <c r="E217" s="4">
        <v>28</v>
      </c>
      <c r="F217" s="2" t="s">
        <v>100</v>
      </c>
      <c r="G217" s="2" t="s">
        <v>35</v>
      </c>
      <c r="H217" s="2" t="s">
        <v>74</v>
      </c>
      <c r="I217" s="4">
        <v>5</v>
      </c>
      <c r="J217" s="5">
        <v>2500</v>
      </c>
      <c r="K217" s="6">
        <v>0.12</v>
      </c>
      <c r="L217" s="2" t="s">
        <v>29</v>
      </c>
      <c r="M217" s="2" t="s">
        <v>60</v>
      </c>
      <c r="N217" s="5">
        <f t="shared" si="9"/>
        <v>12500</v>
      </c>
      <c r="O217" s="5">
        <f t="shared" si="10"/>
        <v>1500</v>
      </c>
      <c r="P217" s="5">
        <f t="shared" si="11"/>
        <v>11000</v>
      </c>
    </row>
    <row r="218" spans="1:16" x14ac:dyDescent="0.25">
      <c r="A218" s="2" t="s">
        <v>332</v>
      </c>
      <c r="B218" s="3">
        <v>45962</v>
      </c>
      <c r="C218" s="2" t="s">
        <v>161</v>
      </c>
      <c r="D218" s="2" t="s">
        <v>18</v>
      </c>
      <c r="E218" s="4">
        <v>48</v>
      </c>
      <c r="F218" s="2" t="s">
        <v>26</v>
      </c>
      <c r="G218" s="2" t="s">
        <v>51</v>
      </c>
      <c r="H218" s="2" t="s">
        <v>92</v>
      </c>
      <c r="I218" s="4">
        <v>9</v>
      </c>
      <c r="J218" s="5">
        <v>21800</v>
      </c>
      <c r="K218" s="6">
        <v>0.18</v>
      </c>
      <c r="L218" s="2" t="s">
        <v>29</v>
      </c>
      <c r="M218" s="2" t="s">
        <v>60</v>
      </c>
      <c r="N218" s="5">
        <f t="shared" si="9"/>
        <v>196200</v>
      </c>
      <c r="O218" s="5">
        <f t="shared" si="10"/>
        <v>35316</v>
      </c>
      <c r="P218" s="5">
        <f t="shared" si="11"/>
        <v>160884</v>
      </c>
    </row>
    <row r="219" spans="1:16" x14ac:dyDescent="0.25">
      <c r="A219" s="2" t="s">
        <v>333</v>
      </c>
      <c r="B219" s="3">
        <v>45976</v>
      </c>
      <c r="C219" s="2" t="s">
        <v>105</v>
      </c>
      <c r="D219" s="2" t="s">
        <v>33</v>
      </c>
      <c r="E219" s="4">
        <v>56</v>
      </c>
      <c r="F219" s="2" t="s">
        <v>40</v>
      </c>
      <c r="G219" s="2" t="s">
        <v>65</v>
      </c>
      <c r="H219" s="2" t="s">
        <v>129</v>
      </c>
      <c r="I219" s="4">
        <v>6</v>
      </c>
      <c r="J219" s="5">
        <v>18700</v>
      </c>
      <c r="K219" s="6">
        <v>0.02</v>
      </c>
      <c r="L219" s="2" t="s">
        <v>29</v>
      </c>
      <c r="M219" s="2" t="s">
        <v>48</v>
      </c>
      <c r="N219" s="5">
        <f t="shared" si="9"/>
        <v>112200</v>
      </c>
      <c r="O219" s="5">
        <f t="shared" si="10"/>
        <v>2244</v>
      </c>
      <c r="P219" s="5">
        <f t="shared" si="11"/>
        <v>109956</v>
      </c>
    </row>
    <row r="220" spans="1:16" x14ac:dyDescent="0.25">
      <c r="A220" s="2" t="s">
        <v>334</v>
      </c>
      <c r="B220" s="3">
        <v>45881</v>
      </c>
      <c r="C220" s="2" t="s">
        <v>168</v>
      </c>
      <c r="D220" s="2" t="s">
        <v>33</v>
      </c>
      <c r="E220" s="4">
        <v>50</v>
      </c>
      <c r="F220" s="2" t="s">
        <v>26</v>
      </c>
      <c r="G220" s="2" t="s">
        <v>65</v>
      </c>
      <c r="H220" s="2" t="s">
        <v>90</v>
      </c>
      <c r="I220" s="4">
        <v>6</v>
      </c>
      <c r="J220" s="5">
        <v>13400</v>
      </c>
      <c r="K220" s="6">
        <v>0.2</v>
      </c>
      <c r="L220" s="2" t="s">
        <v>47</v>
      </c>
      <c r="M220" s="2" t="s">
        <v>48</v>
      </c>
      <c r="N220" s="5">
        <f t="shared" si="9"/>
        <v>80400</v>
      </c>
      <c r="O220" s="5">
        <f t="shared" si="10"/>
        <v>16080</v>
      </c>
      <c r="P220" s="5">
        <f t="shared" si="11"/>
        <v>64320</v>
      </c>
    </row>
    <row r="221" spans="1:16" x14ac:dyDescent="0.25">
      <c r="A221" s="2" t="s">
        <v>335</v>
      </c>
      <c r="B221" s="3">
        <v>46198</v>
      </c>
      <c r="C221" s="2" t="s">
        <v>32</v>
      </c>
      <c r="D221" s="2" t="s">
        <v>33</v>
      </c>
      <c r="E221" s="4">
        <v>63</v>
      </c>
      <c r="F221" s="2" t="s">
        <v>71</v>
      </c>
      <c r="G221" s="2" t="s">
        <v>51</v>
      </c>
      <c r="H221" s="2" t="s">
        <v>111</v>
      </c>
      <c r="I221" s="4">
        <v>8</v>
      </c>
      <c r="J221" s="5">
        <v>383800</v>
      </c>
      <c r="K221" s="6">
        <v>0</v>
      </c>
      <c r="L221" s="2" t="s">
        <v>47</v>
      </c>
      <c r="M221" s="2" t="s">
        <v>94</v>
      </c>
      <c r="N221" s="5">
        <f t="shared" si="9"/>
        <v>3070400</v>
      </c>
      <c r="O221" s="5">
        <f t="shared" si="10"/>
        <v>0</v>
      </c>
      <c r="P221" s="5">
        <f t="shared" si="11"/>
        <v>3070400</v>
      </c>
    </row>
    <row r="222" spans="1:16" x14ac:dyDescent="0.25">
      <c r="A222" s="2" t="s">
        <v>336</v>
      </c>
      <c r="B222" s="3">
        <v>46112</v>
      </c>
      <c r="C222" s="2" t="s">
        <v>223</v>
      </c>
      <c r="D222" s="2" t="s">
        <v>33</v>
      </c>
      <c r="E222" s="4">
        <v>47</v>
      </c>
      <c r="F222" s="2" t="s">
        <v>71</v>
      </c>
      <c r="G222" s="2" t="s">
        <v>45</v>
      </c>
      <c r="H222" s="2" t="s">
        <v>59</v>
      </c>
      <c r="I222" s="4">
        <v>5</v>
      </c>
      <c r="J222" s="5">
        <v>17500</v>
      </c>
      <c r="K222" s="6">
        <v>0</v>
      </c>
      <c r="L222" s="2" t="s">
        <v>47</v>
      </c>
      <c r="M222" s="2" t="s">
        <v>68</v>
      </c>
      <c r="N222" s="5">
        <f t="shared" si="9"/>
        <v>87500</v>
      </c>
      <c r="O222" s="5">
        <f t="shared" si="10"/>
        <v>0</v>
      </c>
      <c r="P222" s="5">
        <f t="shared" si="11"/>
        <v>87500</v>
      </c>
    </row>
    <row r="223" spans="1:16" x14ac:dyDescent="0.25">
      <c r="A223" s="2" t="s">
        <v>337</v>
      </c>
      <c r="B223" s="3">
        <v>45851</v>
      </c>
      <c r="C223" s="2" t="s">
        <v>73</v>
      </c>
      <c r="D223" s="2" t="s">
        <v>18</v>
      </c>
      <c r="E223" s="4">
        <v>31</v>
      </c>
      <c r="F223" s="2" t="s">
        <v>71</v>
      </c>
      <c r="G223" s="2" t="s">
        <v>45</v>
      </c>
      <c r="H223" s="2" t="s">
        <v>46</v>
      </c>
      <c r="I223" s="4">
        <v>6</v>
      </c>
      <c r="J223" s="5">
        <v>200500</v>
      </c>
      <c r="K223" s="6">
        <v>0.02</v>
      </c>
      <c r="L223" s="2" t="s">
        <v>29</v>
      </c>
      <c r="M223" s="2" t="s">
        <v>56</v>
      </c>
      <c r="N223" s="5">
        <f t="shared" si="9"/>
        <v>1203000</v>
      </c>
      <c r="O223" s="5">
        <f t="shared" si="10"/>
        <v>24060</v>
      </c>
      <c r="P223" s="5">
        <f t="shared" si="11"/>
        <v>1178940</v>
      </c>
    </row>
    <row r="224" spans="1:16" x14ac:dyDescent="0.25">
      <c r="A224" s="2" t="s">
        <v>338</v>
      </c>
      <c r="B224" s="3">
        <v>45885</v>
      </c>
      <c r="C224" s="2" t="s">
        <v>155</v>
      </c>
      <c r="D224" s="2" t="s">
        <v>18</v>
      </c>
      <c r="E224" s="4">
        <v>20</v>
      </c>
      <c r="F224" s="2" t="s">
        <v>19</v>
      </c>
      <c r="G224" s="2" t="s">
        <v>51</v>
      </c>
      <c r="H224" s="2" t="s">
        <v>52</v>
      </c>
      <c r="I224" s="4">
        <v>3</v>
      </c>
      <c r="J224" s="5">
        <v>291600</v>
      </c>
      <c r="K224" s="6">
        <v>0.15</v>
      </c>
      <c r="L224" s="2" t="s">
        <v>47</v>
      </c>
      <c r="M224" s="2" t="s">
        <v>112</v>
      </c>
      <c r="N224" s="5">
        <f t="shared" si="9"/>
        <v>874800</v>
      </c>
      <c r="O224" s="5">
        <f t="shared" si="10"/>
        <v>131220</v>
      </c>
      <c r="P224" s="5">
        <f t="shared" si="11"/>
        <v>743580</v>
      </c>
    </row>
    <row r="225" spans="1:16" x14ac:dyDescent="0.25">
      <c r="A225" s="2" t="s">
        <v>339</v>
      </c>
      <c r="B225" s="3">
        <v>46079</v>
      </c>
      <c r="C225" s="2" t="s">
        <v>137</v>
      </c>
      <c r="D225" s="2" t="s">
        <v>33</v>
      </c>
      <c r="E225" s="4">
        <v>42</v>
      </c>
      <c r="F225" s="2" t="s">
        <v>40</v>
      </c>
      <c r="G225" s="2" t="s">
        <v>35</v>
      </c>
      <c r="H225" s="2" t="s">
        <v>36</v>
      </c>
      <c r="I225" s="4">
        <v>6</v>
      </c>
      <c r="J225" s="5">
        <v>4300</v>
      </c>
      <c r="K225" s="6">
        <v>0.02</v>
      </c>
      <c r="L225" s="2" t="s">
        <v>22</v>
      </c>
      <c r="M225" s="2" t="s">
        <v>42</v>
      </c>
      <c r="N225" s="5">
        <f t="shared" si="9"/>
        <v>25800</v>
      </c>
      <c r="O225" s="5">
        <f t="shared" si="10"/>
        <v>516</v>
      </c>
      <c r="P225" s="5">
        <f t="shared" si="11"/>
        <v>25284</v>
      </c>
    </row>
    <row r="226" spans="1:16" x14ac:dyDescent="0.25">
      <c r="A226" s="2" t="s">
        <v>340</v>
      </c>
      <c r="B226" s="3">
        <v>46051</v>
      </c>
      <c r="C226" s="2" t="s">
        <v>39</v>
      </c>
      <c r="D226" s="2" t="s">
        <v>33</v>
      </c>
      <c r="E226" s="4">
        <v>26</v>
      </c>
      <c r="F226" s="2" t="s">
        <v>34</v>
      </c>
      <c r="G226" s="2" t="s">
        <v>27</v>
      </c>
      <c r="H226" s="2" t="s">
        <v>77</v>
      </c>
      <c r="I226" s="4">
        <v>1</v>
      </c>
      <c r="J226" s="5">
        <v>49800</v>
      </c>
      <c r="K226" s="6">
        <v>0.1</v>
      </c>
      <c r="L226" s="2" t="s">
        <v>47</v>
      </c>
      <c r="M226" s="2" t="s">
        <v>42</v>
      </c>
      <c r="N226" s="5">
        <f t="shared" si="9"/>
        <v>49800</v>
      </c>
      <c r="O226" s="5">
        <f t="shared" si="10"/>
        <v>4980</v>
      </c>
      <c r="P226" s="5">
        <f t="shared" si="11"/>
        <v>44820</v>
      </c>
    </row>
    <row r="227" spans="1:16" x14ac:dyDescent="0.25">
      <c r="A227" s="2" t="s">
        <v>341</v>
      </c>
      <c r="B227" s="3">
        <v>46067</v>
      </c>
      <c r="C227" s="2" t="s">
        <v>62</v>
      </c>
      <c r="D227" s="2" t="s">
        <v>18</v>
      </c>
      <c r="E227" s="4">
        <v>42</v>
      </c>
      <c r="F227" s="2" t="s">
        <v>26</v>
      </c>
      <c r="G227" s="2" t="s">
        <v>27</v>
      </c>
      <c r="H227" s="2" t="s">
        <v>28</v>
      </c>
      <c r="I227" s="4">
        <v>3</v>
      </c>
      <c r="J227" s="5">
        <v>41300</v>
      </c>
      <c r="K227" s="6">
        <v>0.1</v>
      </c>
      <c r="L227" s="2" t="s">
        <v>22</v>
      </c>
      <c r="M227" s="2" t="s">
        <v>48</v>
      </c>
      <c r="N227" s="5">
        <f t="shared" si="9"/>
        <v>123900</v>
      </c>
      <c r="O227" s="5">
        <f t="shared" si="10"/>
        <v>12390</v>
      </c>
      <c r="P227" s="5">
        <f t="shared" si="11"/>
        <v>111510</v>
      </c>
    </row>
    <row r="228" spans="1:16" x14ac:dyDescent="0.25">
      <c r="A228" s="2" t="s">
        <v>342</v>
      </c>
      <c r="B228" s="3">
        <v>45866</v>
      </c>
      <c r="C228" s="2" t="s">
        <v>80</v>
      </c>
      <c r="D228" s="2" t="s">
        <v>18</v>
      </c>
      <c r="E228" s="4">
        <v>44</v>
      </c>
      <c r="F228" s="2" t="s">
        <v>71</v>
      </c>
      <c r="G228" s="2" t="s">
        <v>45</v>
      </c>
      <c r="H228" s="2" t="s">
        <v>101</v>
      </c>
      <c r="I228" s="4">
        <v>2</v>
      </c>
      <c r="J228" s="5">
        <v>14800</v>
      </c>
      <c r="K228" s="6">
        <v>0.02</v>
      </c>
      <c r="L228" s="2" t="s">
        <v>29</v>
      </c>
      <c r="M228" s="2" t="s">
        <v>56</v>
      </c>
      <c r="N228" s="5">
        <f t="shared" si="9"/>
        <v>29600</v>
      </c>
      <c r="O228" s="5">
        <f t="shared" si="10"/>
        <v>592</v>
      </c>
      <c r="P228" s="5">
        <f t="shared" si="11"/>
        <v>29008</v>
      </c>
    </row>
    <row r="229" spans="1:16" x14ac:dyDescent="0.25">
      <c r="A229" s="2" t="s">
        <v>343</v>
      </c>
      <c r="B229" s="3">
        <v>46078</v>
      </c>
      <c r="C229" s="2" t="s">
        <v>128</v>
      </c>
      <c r="D229" s="2" t="s">
        <v>33</v>
      </c>
      <c r="E229" s="4">
        <v>61</v>
      </c>
      <c r="F229" s="2" t="s">
        <v>34</v>
      </c>
      <c r="G229" s="2" t="s">
        <v>45</v>
      </c>
      <c r="H229" s="2" t="s">
        <v>101</v>
      </c>
      <c r="I229" s="4">
        <v>7</v>
      </c>
      <c r="J229" s="5">
        <v>9400</v>
      </c>
      <c r="K229" s="6">
        <v>0.18</v>
      </c>
      <c r="L229" s="2" t="s">
        <v>22</v>
      </c>
      <c r="M229" s="2" t="s">
        <v>42</v>
      </c>
      <c r="N229" s="5">
        <f t="shared" si="9"/>
        <v>65800</v>
      </c>
      <c r="O229" s="5">
        <f t="shared" si="10"/>
        <v>11844</v>
      </c>
      <c r="P229" s="5">
        <f t="shared" si="11"/>
        <v>53956</v>
      </c>
    </row>
    <row r="230" spans="1:16" x14ac:dyDescent="0.25">
      <c r="A230" s="2" t="s">
        <v>344</v>
      </c>
      <c r="B230" s="3">
        <v>45961</v>
      </c>
      <c r="C230" s="2" t="s">
        <v>25</v>
      </c>
      <c r="D230" s="2" t="s">
        <v>18</v>
      </c>
      <c r="E230" s="4">
        <v>21</v>
      </c>
      <c r="F230" s="2" t="s">
        <v>26</v>
      </c>
      <c r="G230" s="2" t="s">
        <v>65</v>
      </c>
      <c r="H230" s="2" t="s">
        <v>172</v>
      </c>
      <c r="I230" s="4">
        <v>10</v>
      </c>
      <c r="J230" s="5">
        <v>4000</v>
      </c>
      <c r="K230" s="6">
        <v>0.12</v>
      </c>
      <c r="L230" s="2" t="s">
        <v>29</v>
      </c>
      <c r="M230" s="2" t="s">
        <v>30</v>
      </c>
      <c r="N230" s="5">
        <f t="shared" si="9"/>
        <v>40000</v>
      </c>
      <c r="O230" s="5">
        <f t="shared" si="10"/>
        <v>4800</v>
      </c>
      <c r="P230" s="5">
        <f t="shared" si="11"/>
        <v>35200</v>
      </c>
    </row>
    <row r="231" spans="1:16" x14ac:dyDescent="0.25">
      <c r="A231" s="2" t="s">
        <v>345</v>
      </c>
      <c r="B231" s="3">
        <v>46194</v>
      </c>
      <c r="C231" s="2" t="s">
        <v>237</v>
      </c>
      <c r="D231" s="2" t="s">
        <v>18</v>
      </c>
      <c r="E231" s="4">
        <v>33</v>
      </c>
      <c r="F231" s="2" t="s">
        <v>19</v>
      </c>
      <c r="G231" s="2" t="s">
        <v>27</v>
      </c>
      <c r="H231" s="2" t="s">
        <v>41</v>
      </c>
      <c r="I231" s="4">
        <v>5</v>
      </c>
      <c r="J231" s="5">
        <v>144200</v>
      </c>
      <c r="K231" s="6">
        <v>0.1</v>
      </c>
      <c r="L231" s="2" t="s">
        <v>22</v>
      </c>
      <c r="M231" s="2" t="s">
        <v>42</v>
      </c>
      <c r="N231" s="5">
        <f t="shared" si="9"/>
        <v>721000</v>
      </c>
      <c r="O231" s="5">
        <f t="shared" si="10"/>
        <v>72100</v>
      </c>
      <c r="P231" s="5">
        <f t="shared" si="11"/>
        <v>648900</v>
      </c>
    </row>
    <row r="232" spans="1:16" x14ac:dyDescent="0.25">
      <c r="A232" s="2" t="s">
        <v>346</v>
      </c>
      <c r="B232" s="3">
        <v>46152</v>
      </c>
      <c r="C232" s="2" t="s">
        <v>73</v>
      </c>
      <c r="D232" s="2" t="s">
        <v>18</v>
      </c>
      <c r="E232" s="4">
        <v>29</v>
      </c>
      <c r="F232" s="2" t="s">
        <v>34</v>
      </c>
      <c r="G232" s="2" t="s">
        <v>35</v>
      </c>
      <c r="H232" s="2" t="s">
        <v>55</v>
      </c>
      <c r="I232" s="4">
        <v>8</v>
      </c>
      <c r="J232" s="5">
        <v>5800</v>
      </c>
      <c r="K232" s="6">
        <v>0</v>
      </c>
      <c r="L232" s="2" t="s">
        <v>47</v>
      </c>
      <c r="M232" s="2" t="s">
        <v>112</v>
      </c>
      <c r="N232" s="5">
        <f t="shared" si="9"/>
        <v>46400</v>
      </c>
      <c r="O232" s="5">
        <f t="shared" si="10"/>
        <v>0</v>
      </c>
      <c r="P232" s="5">
        <f t="shared" si="11"/>
        <v>46400</v>
      </c>
    </row>
    <row r="233" spans="1:16" x14ac:dyDescent="0.25">
      <c r="A233" s="2" t="s">
        <v>347</v>
      </c>
      <c r="B233" s="3">
        <v>46118</v>
      </c>
      <c r="C233" s="2" t="s">
        <v>237</v>
      </c>
      <c r="D233" s="2" t="s">
        <v>18</v>
      </c>
      <c r="E233" s="4">
        <v>62</v>
      </c>
      <c r="F233" s="2" t="s">
        <v>100</v>
      </c>
      <c r="G233" s="2" t="s">
        <v>51</v>
      </c>
      <c r="H233" s="2" t="s">
        <v>52</v>
      </c>
      <c r="I233" s="4">
        <v>7</v>
      </c>
      <c r="J233" s="5">
        <v>168600</v>
      </c>
      <c r="K233" s="6">
        <v>0.05</v>
      </c>
      <c r="L233" s="2" t="s">
        <v>29</v>
      </c>
      <c r="M233" s="2" t="s">
        <v>23</v>
      </c>
      <c r="N233" s="5">
        <f t="shared" si="9"/>
        <v>1180200</v>
      </c>
      <c r="O233" s="5">
        <f t="shared" si="10"/>
        <v>59010</v>
      </c>
      <c r="P233" s="5">
        <f t="shared" si="11"/>
        <v>1121190</v>
      </c>
    </row>
    <row r="234" spans="1:16" x14ac:dyDescent="0.25">
      <c r="A234" s="2" t="s">
        <v>348</v>
      </c>
      <c r="B234" s="3">
        <v>45973</v>
      </c>
      <c r="C234" s="2" t="s">
        <v>165</v>
      </c>
      <c r="D234" s="2" t="s">
        <v>33</v>
      </c>
      <c r="E234" s="4">
        <v>37</v>
      </c>
      <c r="F234" s="2" t="s">
        <v>34</v>
      </c>
      <c r="G234" s="2" t="s">
        <v>27</v>
      </c>
      <c r="H234" s="2" t="s">
        <v>28</v>
      </c>
      <c r="I234" s="4">
        <v>1</v>
      </c>
      <c r="J234" s="5">
        <v>60000</v>
      </c>
      <c r="K234" s="6">
        <v>0.2</v>
      </c>
      <c r="L234" s="2" t="s">
        <v>47</v>
      </c>
      <c r="M234" s="2" t="s">
        <v>112</v>
      </c>
      <c r="N234" s="5">
        <f t="shared" si="9"/>
        <v>60000</v>
      </c>
      <c r="O234" s="5">
        <f t="shared" si="10"/>
        <v>12000</v>
      </c>
      <c r="P234" s="5">
        <f t="shared" si="11"/>
        <v>48000</v>
      </c>
    </row>
    <row r="235" spans="1:16" x14ac:dyDescent="0.25">
      <c r="A235" s="2" t="s">
        <v>349</v>
      </c>
      <c r="B235" s="3">
        <v>46135</v>
      </c>
      <c r="C235" s="2" t="s">
        <v>39</v>
      </c>
      <c r="D235" s="2" t="s">
        <v>33</v>
      </c>
      <c r="E235" s="4">
        <v>26</v>
      </c>
      <c r="F235" s="2" t="s">
        <v>100</v>
      </c>
      <c r="G235" s="2" t="s">
        <v>27</v>
      </c>
      <c r="H235" s="2" t="s">
        <v>81</v>
      </c>
      <c r="I235" s="4">
        <v>6</v>
      </c>
      <c r="J235" s="5">
        <v>96700</v>
      </c>
      <c r="K235" s="6">
        <v>0.02</v>
      </c>
      <c r="L235" s="2" t="s">
        <v>47</v>
      </c>
      <c r="M235" s="2" t="s">
        <v>37</v>
      </c>
      <c r="N235" s="5">
        <f t="shared" si="9"/>
        <v>580200</v>
      </c>
      <c r="O235" s="5">
        <f t="shared" si="10"/>
        <v>11604</v>
      </c>
      <c r="P235" s="5">
        <f t="shared" si="11"/>
        <v>568596</v>
      </c>
    </row>
    <row r="236" spans="1:16" x14ac:dyDescent="0.25">
      <c r="A236" s="2" t="s">
        <v>350</v>
      </c>
      <c r="B236" s="3">
        <v>45897</v>
      </c>
      <c r="C236" s="2" t="s">
        <v>62</v>
      </c>
      <c r="D236" s="2" t="s">
        <v>18</v>
      </c>
      <c r="E236" s="4">
        <v>64</v>
      </c>
      <c r="F236" s="2" t="s">
        <v>26</v>
      </c>
      <c r="G236" s="2" t="s">
        <v>45</v>
      </c>
      <c r="H236" s="2" t="s">
        <v>187</v>
      </c>
      <c r="I236" s="4">
        <v>10</v>
      </c>
      <c r="J236" s="5">
        <v>109400</v>
      </c>
      <c r="K236" s="6">
        <v>0</v>
      </c>
      <c r="L236" s="2" t="s">
        <v>22</v>
      </c>
      <c r="M236" s="2" t="s">
        <v>60</v>
      </c>
      <c r="N236" s="5">
        <f t="shared" si="9"/>
        <v>1094000</v>
      </c>
      <c r="O236" s="5">
        <f t="shared" si="10"/>
        <v>0</v>
      </c>
      <c r="P236" s="5">
        <f t="shared" si="11"/>
        <v>1094000</v>
      </c>
    </row>
    <row r="237" spans="1:16" x14ac:dyDescent="0.25">
      <c r="A237" s="2" t="s">
        <v>351</v>
      </c>
      <c r="B237" s="3">
        <v>46150</v>
      </c>
      <c r="C237" s="2" t="s">
        <v>311</v>
      </c>
      <c r="D237" s="2" t="s">
        <v>33</v>
      </c>
      <c r="E237" s="4">
        <v>60</v>
      </c>
      <c r="F237" s="2" t="s">
        <v>71</v>
      </c>
      <c r="G237" s="2" t="s">
        <v>27</v>
      </c>
      <c r="H237" s="2" t="s">
        <v>28</v>
      </c>
      <c r="I237" s="4">
        <v>6</v>
      </c>
      <c r="J237" s="5">
        <v>36800</v>
      </c>
      <c r="K237" s="6">
        <v>0.1</v>
      </c>
      <c r="L237" s="2" t="s">
        <v>22</v>
      </c>
      <c r="M237" s="2" t="s">
        <v>60</v>
      </c>
      <c r="N237" s="5">
        <f t="shared" si="9"/>
        <v>220800</v>
      </c>
      <c r="O237" s="5">
        <f t="shared" si="10"/>
        <v>22080</v>
      </c>
      <c r="P237" s="5">
        <f t="shared" si="11"/>
        <v>198720</v>
      </c>
    </row>
    <row r="238" spans="1:16" x14ac:dyDescent="0.25">
      <c r="A238" s="2" t="s">
        <v>352</v>
      </c>
      <c r="B238" s="3">
        <v>45947</v>
      </c>
      <c r="C238" s="2" t="s">
        <v>73</v>
      </c>
      <c r="D238" s="2" t="s">
        <v>18</v>
      </c>
      <c r="E238" s="4">
        <v>25</v>
      </c>
      <c r="F238" s="2" t="s">
        <v>34</v>
      </c>
      <c r="G238" s="2" t="s">
        <v>51</v>
      </c>
      <c r="H238" s="2" t="s">
        <v>52</v>
      </c>
      <c r="I238" s="4">
        <v>10</v>
      </c>
      <c r="J238" s="5">
        <v>272400</v>
      </c>
      <c r="K238" s="6">
        <v>7.0000000000000007E-2</v>
      </c>
      <c r="L238" s="2" t="s">
        <v>47</v>
      </c>
      <c r="M238" s="2" t="s">
        <v>60</v>
      </c>
      <c r="N238" s="5">
        <f t="shared" si="9"/>
        <v>2724000</v>
      </c>
      <c r="O238" s="5">
        <f t="shared" si="10"/>
        <v>190680.00000000003</v>
      </c>
      <c r="P238" s="5">
        <f t="shared" si="11"/>
        <v>2533320</v>
      </c>
    </row>
    <row r="239" spans="1:16" x14ac:dyDescent="0.25">
      <c r="A239" s="2" t="s">
        <v>353</v>
      </c>
      <c r="B239" s="3">
        <v>46132</v>
      </c>
      <c r="C239" s="2" t="s">
        <v>237</v>
      </c>
      <c r="D239" s="2" t="s">
        <v>18</v>
      </c>
      <c r="E239" s="4">
        <v>36</v>
      </c>
      <c r="F239" s="2" t="s">
        <v>100</v>
      </c>
      <c r="G239" s="2" t="s">
        <v>51</v>
      </c>
      <c r="H239" s="2" t="s">
        <v>92</v>
      </c>
      <c r="I239" s="4">
        <v>5</v>
      </c>
      <c r="J239" s="5">
        <v>20100</v>
      </c>
      <c r="K239" s="6">
        <v>0.12</v>
      </c>
      <c r="L239" s="2" t="s">
        <v>29</v>
      </c>
      <c r="M239" s="2" t="s">
        <v>23</v>
      </c>
      <c r="N239" s="5">
        <f t="shared" si="9"/>
        <v>100500</v>
      </c>
      <c r="O239" s="5">
        <f t="shared" si="10"/>
        <v>12060</v>
      </c>
      <c r="P239" s="5">
        <f t="shared" si="11"/>
        <v>88440</v>
      </c>
    </row>
    <row r="240" spans="1:16" x14ac:dyDescent="0.25">
      <c r="A240" s="2" t="s">
        <v>354</v>
      </c>
      <c r="B240" s="3">
        <v>46088</v>
      </c>
      <c r="C240" s="2" t="s">
        <v>64</v>
      </c>
      <c r="D240" s="2" t="s">
        <v>33</v>
      </c>
      <c r="E240" s="4">
        <v>64</v>
      </c>
      <c r="F240" s="2" t="s">
        <v>100</v>
      </c>
      <c r="G240" s="2" t="s">
        <v>20</v>
      </c>
      <c r="H240" s="2" t="s">
        <v>21</v>
      </c>
      <c r="I240" s="4">
        <v>6</v>
      </c>
      <c r="J240" s="5">
        <v>2300</v>
      </c>
      <c r="K240" s="6">
        <v>0.15</v>
      </c>
      <c r="L240" s="2" t="s">
        <v>22</v>
      </c>
      <c r="M240" s="2" t="s">
        <v>30</v>
      </c>
      <c r="N240" s="5">
        <f t="shared" si="9"/>
        <v>13800</v>
      </c>
      <c r="O240" s="5">
        <f t="shared" si="10"/>
        <v>2070</v>
      </c>
      <c r="P240" s="5">
        <f t="shared" si="11"/>
        <v>11730</v>
      </c>
    </row>
    <row r="241" spans="1:16" x14ac:dyDescent="0.25">
      <c r="A241" s="2" t="s">
        <v>355</v>
      </c>
      <c r="B241" s="3">
        <v>45963</v>
      </c>
      <c r="C241" s="2" t="s">
        <v>73</v>
      </c>
      <c r="D241" s="2" t="s">
        <v>18</v>
      </c>
      <c r="E241" s="4">
        <v>27</v>
      </c>
      <c r="F241" s="2" t="s">
        <v>40</v>
      </c>
      <c r="G241" s="2" t="s">
        <v>20</v>
      </c>
      <c r="H241" s="2" t="s">
        <v>108</v>
      </c>
      <c r="I241" s="4">
        <v>3</v>
      </c>
      <c r="J241" s="5">
        <v>44700</v>
      </c>
      <c r="K241" s="6">
        <v>7.0000000000000007E-2</v>
      </c>
      <c r="L241" s="2" t="s">
        <v>47</v>
      </c>
      <c r="M241" s="2" t="s">
        <v>60</v>
      </c>
      <c r="N241" s="5">
        <f t="shared" si="9"/>
        <v>134100</v>
      </c>
      <c r="O241" s="5">
        <f t="shared" si="10"/>
        <v>9387</v>
      </c>
      <c r="P241" s="5">
        <f t="shared" si="11"/>
        <v>124713</v>
      </c>
    </row>
    <row r="242" spans="1:16" x14ac:dyDescent="0.25">
      <c r="A242" s="2" t="s">
        <v>356</v>
      </c>
      <c r="B242" s="3">
        <v>46044</v>
      </c>
      <c r="C242" s="2" t="s">
        <v>118</v>
      </c>
      <c r="D242" s="2" t="s">
        <v>33</v>
      </c>
      <c r="E242" s="4">
        <v>33</v>
      </c>
      <c r="F242" s="2" t="s">
        <v>100</v>
      </c>
      <c r="G242" s="2" t="s">
        <v>65</v>
      </c>
      <c r="H242" s="2" t="s">
        <v>172</v>
      </c>
      <c r="I242" s="4">
        <v>8</v>
      </c>
      <c r="J242" s="5">
        <v>4100</v>
      </c>
      <c r="K242" s="6">
        <v>0.18</v>
      </c>
      <c r="L242" s="2" t="s">
        <v>47</v>
      </c>
      <c r="M242" s="2" t="s">
        <v>94</v>
      </c>
      <c r="N242" s="5">
        <f t="shared" si="9"/>
        <v>32800</v>
      </c>
      <c r="O242" s="5">
        <f t="shared" si="10"/>
        <v>5904</v>
      </c>
      <c r="P242" s="5">
        <f t="shared" si="11"/>
        <v>26896</v>
      </c>
    </row>
    <row r="243" spans="1:16" x14ac:dyDescent="0.25">
      <c r="A243" s="2" t="s">
        <v>357</v>
      </c>
      <c r="B243" s="3">
        <v>46030</v>
      </c>
      <c r="C243" s="2" t="s">
        <v>99</v>
      </c>
      <c r="D243" s="2" t="s">
        <v>18</v>
      </c>
      <c r="E243" s="4">
        <v>26</v>
      </c>
      <c r="F243" s="2" t="s">
        <v>34</v>
      </c>
      <c r="G243" s="2" t="s">
        <v>65</v>
      </c>
      <c r="H243" s="2" t="s">
        <v>129</v>
      </c>
      <c r="I243" s="4">
        <v>9</v>
      </c>
      <c r="J243" s="5">
        <v>13000</v>
      </c>
      <c r="K243" s="6">
        <v>0</v>
      </c>
      <c r="L243" s="2" t="s">
        <v>29</v>
      </c>
      <c r="M243" s="2" t="s">
        <v>56</v>
      </c>
      <c r="N243" s="5">
        <f t="shared" si="9"/>
        <v>117000</v>
      </c>
      <c r="O243" s="5">
        <f t="shared" si="10"/>
        <v>0</v>
      </c>
      <c r="P243" s="5">
        <f t="shared" si="11"/>
        <v>117000</v>
      </c>
    </row>
    <row r="244" spans="1:16" x14ac:dyDescent="0.25">
      <c r="A244" s="2" t="s">
        <v>358</v>
      </c>
      <c r="B244" s="3">
        <v>45888</v>
      </c>
      <c r="C244" s="2" t="s">
        <v>80</v>
      </c>
      <c r="D244" s="2" t="s">
        <v>18</v>
      </c>
      <c r="E244" s="4">
        <v>21</v>
      </c>
      <c r="F244" s="2" t="s">
        <v>40</v>
      </c>
      <c r="G244" s="2" t="s">
        <v>51</v>
      </c>
      <c r="H244" s="2" t="s">
        <v>52</v>
      </c>
      <c r="I244" s="4">
        <v>4</v>
      </c>
      <c r="J244" s="5">
        <v>255300</v>
      </c>
      <c r="K244" s="6">
        <v>0.02</v>
      </c>
      <c r="L244" s="2" t="s">
        <v>29</v>
      </c>
      <c r="M244" s="2" t="s">
        <v>94</v>
      </c>
      <c r="N244" s="5">
        <f t="shared" si="9"/>
        <v>1021200</v>
      </c>
      <c r="O244" s="5">
        <f t="shared" si="10"/>
        <v>20424</v>
      </c>
      <c r="P244" s="5">
        <f t="shared" si="11"/>
        <v>1000776</v>
      </c>
    </row>
    <row r="245" spans="1:16" x14ac:dyDescent="0.25">
      <c r="A245" s="2" t="s">
        <v>359</v>
      </c>
      <c r="B245" s="3">
        <v>45854</v>
      </c>
      <c r="C245" s="2" t="s">
        <v>32</v>
      </c>
      <c r="D245" s="2" t="s">
        <v>33</v>
      </c>
      <c r="E245" s="4">
        <v>50</v>
      </c>
      <c r="F245" s="2" t="s">
        <v>100</v>
      </c>
      <c r="G245" s="2" t="s">
        <v>20</v>
      </c>
      <c r="H245" s="2" t="s">
        <v>114</v>
      </c>
      <c r="I245" s="4">
        <v>10</v>
      </c>
      <c r="J245" s="5">
        <v>3800</v>
      </c>
      <c r="K245" s="6">
        <v>0.18</v>
      </c>
      <c r="L245" s="2" t="s">
        <v>29</v>
      </c>
      <c r="M245" s="2" t="s">
        <v>23</v>
      </c>
      <c r="N245" s="5">
        <f t="shared" si="9"/>
        <v>38000</v>
      </c>
      <c r="O245" s="5">
        <f t="shared" si="10"/>
        <v>6840</v>
      </c>
      <c r="P245" s="5">
        <f t="shared" si="11"/>
        <v>31160</v>
      </c>
    </row>
    <row r="246" spans="1:16" x14ac:dyDescent="0.25">
      <c r="A246" s="2" t="s">
        <v>360</v>
      </c>
      <c r="B246" s="3">
        <v>45858</v>
      </c>
      <c r="C246" s="2" t="s">
        <v>83</v>
      </c>
      <c r="D246" s="2" t="s">
        <v>33</v>
      </c>
      <c r="E246" s="4">
        <v>52</v>
      </c>
      <c r="F246" s="2" t="s">
        <v>71</v>
      </c>
      <c r="G246" s="2" t="s">
        <v>51</v>
      </c>
      <c r="H246" s="2" t="s">
        <v>111</v>
      </c>
      <c r="I246" s="4">
        <v>9</v>
      </c>
      <c r="J246" s="5">
        <v>254400</v>
      </c>
      <c r="K246" s="6">
        <v>0.1</v>
      </c>
      <c r="L246" s="2" t="s">
        <v>29</v>
      </c>
      <c r="M246" s="2" t="s">
        <v>68</v>
      </c>
      <c r="N246" s="5">
        <f t="shared" si="9"/>
        <v>2289600</v>
      </c>
      <c r="O246" s="5">
        <f t="shared" si="10"/>
        <v>228960</v>
      </c>
      <c r="P246" s="5">
        <f t="shared" si="11"/>
        <v>2060640</v>
      </c>
    </row>
    <row r="247" spans="1:16" x14ac:dyDescent="0.25">
      <c r="A247" s="2" t="s">
        <v>361</v>
      </c>
      <c r="B247" s="3">
        <v>45858</v>
      </c>
      <c r="C247" s="2" t="s">
        <v>218</v>
      </c>
      <c r="D247" s="2" t="s">
        <v>33</v>
      </c>
      <c r="E247" s="4">
        <v>62</v>
      </c>
      <c r="F247" s="2" t="s">
        <v>34</v>
      </c>
      <c r="G247" s="2" t="s">
        <v>51</v>
      </c>
      <c r="H247" s="2" t="s">
        <v>52</v>
      </c>
      <c r="I247" s="4">
        <v>2</v>
      </c>
      <c r="J247" s="5">
        <v>118100</v>
      </c>
      <c r="K247" s="6">
        <v>0.2</v>
      </c>
      <c r="L247" s="2" t="s">
        <v>22</v>
      </c>
      <c r="M247" s="2" t="s">
        <v>60</v>
      </c>
      <c r="N247" s="5">
        <f t="shared" si="9"/>
        <v>236200</v>
      </c>
      <c r="O247" s="5">
        <f t="shared" si="10"/>
        <v>47240</v>
      </c>
      <c r="P247" s="5">
        <f t="shared" si="11"/>
        <v>188960</v>
      </c>
    </row>
    <row r="248" spans="1:16" x14ac:dyDescent="0.25">
      <c r="A248" s="2" t="s">
        <v>362</v>
      </c>
      <c r="B248" s="3">
        <v>45948</v>
      </c>
      <c r="C248" s="2" t="s">
        <v>229</v>
      </c>
      <c r="D248" s="2" t="s">
        <v>18</v>
      </c>
      <c r="E248" s="4">
        <v>51</v>
      </c>
      <c r="F248" s="2" t="s">
        <v>19</v>
      </c>
      <c r="G248" s="2" t="s">
        <v>20</v>
      </c>
      <c r="H248" s="2" t="s">
        <v>86</v>
      </c>
      <c r="I248" s="4">
        <v>7</v>
      </c>
      <c r="J248" s="5">
        <v>14500</v>
      </c>
      <c r="K248" s="6">
        <v>0.02</v>
      </c>
      <c r="L248" s="2" t="s">
        <v>47</v>
      </c>
      <c r="M248" s="2" t="s">
        <v>112</v>
      </c>
      <c r="N248" s="5">
        <f t="shared" si="9"/>
        <v>101500</v>
      </c>
      <c r="O248" s="5">
        <f t="shared" si="10"/>
        <v>2030</v>
      </c>
      <c r="P248" s="5">
        <f t="shared" si="11"/>
        <v>99470</v>
      </c>
    </row>
    <row r="249" spans="1:16" x14ac:dyDescent="0.25">
      <c r="A249" s="2" t="s">
        <v>363</v>
      </c>
      <c r="B249" s="3">
        <v>46085</v>
      </c>
      <c r="C249" s="2" t="s">
        <v>118</v>
      </c>
      <c r="D249" s="2" t="s">
        <v>33</v>
      </c>
      <c r="E249" s="4">
        <v>33</v>
      </c>
      <c r="F249" s="2" t="s">
        <v>34</v>
      </c>
      <c r="G249" s="2" t="s">
        <v>27</v>
      </c>
      <c r="H249" s="2" t="s">
        <v>81</v>
      </c>
      <c r="I249" s="4">
        <v>1</v>
      </c>
      <c r="J249" s="5">
        <v>80600</v>
      </c>
      <c r="K249" s="6">
        <v>0.02</v>
      </c>
      <c r="L249" s="2" t="s">
        <v>47</v>
      </c>
      <c r="M249" s="2" t="s">
        <v>112</v>
      </c>
      <c r="N249" s="5">
        <f t="shared" si="9"/>
        <v>80600</v>
      </c>
      <c r="O249" s="5">
        <f t="shared" si="10"/>
        <v>1612</v>
      </c>
      <c r="P249" s="5">
        <f t="shared" si="11"/>
        <v>78988</v>
      </c>
    </row>
    <row r="250" spans="1:16" x14ac:dyDescent="0.25">
      <c r="A250" s="2" t="s">
        <v>364</v>
      </c>
      <c r="B250" s="3">
        <v>46043</v>
      </c>
      <c r="C250" s="2" t="s">
        <v>168</v>
      </c>
      <c r="D250" s="2" t="s">
        <v>33</v>
      </c>
      <c r="E250" s="4">
        <v>48</v>
      </c>
      <c r="F250" s="2" t="s">
        <v>40</v>
      </c>
      <c r="G250" s="2" t="s">
        <v>35</v>
      </c>
      <c r="H250" s="2" t="s">
        <v>125</v>
      </c>
      <c r="I250" s="4">
        <v>3</v>
      </c>
      <c r="J250" s="5">
        <v>2200</v>
      </c>
      <c r="K250" s="6">
        <v>0.02</v>
      </c>
      <c r="L250" s="2" t="s">
        <v>47</v>
      </c>
      <c r="M250" s="2" t="s">
        <v>112</v>
      </c>
      <c r="N250" s="5">
        <f t="shared" si="9"/>
        <v>6600</v>
      </c>
      <c r="O250" s="5">
        <f t="shared" si="10"/>
        <v>132</v>
      </c>
      <c r="P250" s="5">
        <f t="shared" si="11"/>
        <v>6468</v>
      </c>
    </row>
    <row r="251" spans="1:16" x14ac:dyDescent="0.25">
      <c r="A251" s="2" t="s">
        <v>365</v>
      </c>
      <c r="B251" s="3">
        <v>46180</v>
      </c>
      <c r="C251" s="2" t="s">
        <v>177</v>
      </c>
      <c r="D251" s="2" t="s">
        <v>18</v>
      </c>
      <c r="E251" s="4">
        <v>54</v>
      </c>
      <c r="F251" s="2" t="s">
        <v>40</v>
      </c>
      <c r="G251" s="2" t="s">
        <v>65</v>
      </c>
      <c r="H251" s="2" t="s">
        <v>66</v>
      </c>
      <c r="I251" s="4">
        <v>4</v>
      </c>
      <c r="J251" s="5">
        <v>3400</v>
      </c>
      <c r="K251" s="6">
        <v>0.18</v>
      </c>
      <c r="L251" s="2" t="s">
        <v>47</v>
      </c>
      <c r="M251" s="2" t="s">
        <v>56</v>
      </c>
      <c r="N251" s="5">
        <f t="shared" si="9"/>
        <v>13600</v>
      </c>
      <c r="O251" s="5">
        <f t="shared" si="10"/>
        <v>2448</v>
      </c>
      <c r="P251" s="5">
        <f t="shared" si="11"/>
        <v>11152</v>
      </c>
    </row>
    <row r="252" spans="1:16" x14ac:dyDescent="0.25">
      <c r="A252" s="2" t="s">
        <v>366</v>
      </c>
      <c r="B252" s="3">
        <v>45888</v>
      </c>
      <c r="C252" s="2" t="s">
        <v>105</v>
      </c>
      <c r="D252" s="2" t="s">
        <v>33</v>
      </c>
      <c r="E252" s="4">
        <v>35</v>
      </c>
      <c r="F252" s="2" t="s">
        <v>71</v>
      </c>
      <c r="G252" s="2" t="s">
        <v>65</v>
      </c>
      <c r="H252" s="2" t="s">
        <v>66</v>
      </c>
      <c r="I252" s="4">
        <v>6</v>
      </c>
      <c r="J252" s="5">
        <v>3200</v>
      </c>
      <c r="K252" s="6">
        <v>0</v>
      </c>
      <c r="L252" s="2" t="s">
        <v>22</v>
      </c>
      <c r="M252" s="2" t="s">
        <v>30</v>
      </c>
      <c r="N252" s="5">
        <f t="shared" si="9"/>
        <v>19200</v>
      </c>
      <c r="O252" s="5">
        <f t="shared" si="10"/>
        <v>0</v>
      </c>
      <c r="P252" s="5">
        <f t="shared" si="11"/>
        <v>19200</v>
      </c>
    </row>
    <row r="253" spans="1:16" x14ac:dyDescent="0.25">
      <c r="A253" s="2" t="s">
        <v>367</v>
      </c>
      <c r="B253" s="3">
        <v>45923</v>
      </c>
      <c r="C253" s="2" t="s">
        <v>25</v>
      </c>
      <c r="D253" s="2" t="s">
        <v>18</v>
      </c>
      <c r="E253" s="4">
        <v>63</v>
      </c>
      <c r="F253" s="2" t="s">
        <v>100</v>
      </c>
      <c r="G253" s="2" t="s">
        <v>45</v>
      </c>
      <c r="H253" s="2" t="s">
        <v>187</v>
      </c>
      <c r="I253" s="4">
        <v>10</v>
      </c>
      <c r="J253" s="5">
        <v>81300</v>
      </c>
      <c r="K253" s="6">
        <v>7.0000000000000007E-2</v>
      </c>
      <c r="L253" s="2" t="s">
        <v>29</v>
      </c>
      <c r="M253" s="2" t="s">
        <v>112</v>
      </c>
      <c r="N253" s="5">
        <f t="shared" si="9"/>
        <v>813000</v>
      </c>
      <c r="O253" s="5">
        <f t="shared" si="10"/>
        <v>56910.000000000007</v>
      </c>
      <c r="P253" s="5">
        <f t="shared" si="11"/>
        <v>756090</v>
      </c>
    </row>
    <row r="254" spans="1:16" x14ac:dyDescent="0.25">
      <c r="A254" s="2" t="s">
        <v>368</v>
      </c>
      <c r="B254" s="3">
        <v>46196</v>
      </c>
      <c r="C254" s="2" t="s">
        <v>62</v>
      </c>
      <c r="D254" s="2" t="s">
        <v>18</v>
      </c>
      <c r="E254" s="4">
        <v>39</v>
      </c>
      <c r="F254" s="2" t="s">
        <v>100</v>
      </c>
      <c r="G254" s="2" t="s">
        <v>35</v>
      </c>
      <c r="H254" s="2" t="s">
        <v>36</v>
      </c>
      <c r="I254" s="4">
        <v>2</v>
      </c>
      <c r="J254" s="5">
        <v>4600</v>
      </c>
      <c r="K254" s="6">
        <v>0.2</v>
      </c>
      <c r="L254" s="2" t="s">
        <v>29</v>
      </c>
      <c r="M254" s="2" t="s">
        <v>37</v>
      </c>
      <c r="N254" s="5">
        <f t="shared" si="9"/>
        <v>9200</v>
      </c>
      <c r="O254" s="5">
        <f t="shared" si="10"/>
        <v>1840</v>
      </c>
      <c r="P254" s="5">
        <f t="shared" si="11"/>
        <v>7360</v>
      </c>
    </row>
    <row r="255" spans="1:16" x14ac:dyDescent="0.25">
      <c r="A255" s="2" t="s">
        <v>369</v>
      </c>
      <c r="B255" s="3">
        <v>45877</v>
      </c>
      <c r="C255" s="2" t="s">
        <v>64</v>
      </c>
      <c r="D255" s="2" t="s">
        <v>33</v>
      </c>
      <c r="E255" s="4">
        <v>45</v>
      </c>
      <c r="F255" s="2" t="s">
        <v>26</v>
      </c>
      <c r="G255" s="2" t="s">
        <v>45</v>
      </c>
      <c r="H255" s="2" t="s">
        <v>187</v>
      </c>
      <c r="I255" s="4">
        <v>10</v>
      </c>
      <c r="J255" s="5">
        <v>139300</v>
      </c>
      <c r="K255" s="6">
        <v>0.15</v>
      </c>
      <c r="L255" s="2" t="s">
        <v>47</v>
      </c>
      <c r="M255" s="2" t="s">
        <v>56</v>
      </c>
      <c r="N255" s="5">
        <f t="shared" si="9"/>
        <v>1393000</v>
      </c>
      <c r="O255" s="5">
        <f t="shared" si="10"/>
        <v>208950</v>
      </c>
      <c r="P255" s="5">
        <f t="shared" si="11"/>
        <v>1184050</v>
      </c>
    </row>
    <row r="256" spans="1:16" x14ac:dyDescent="0.25">
      <c r="A256" s="2" t="s">
        <v>370</v>
      </c>
      <c r="B256" s="3">
        <v>46174</v>
      </c>
      <c r="C256" s="2" t="s">
        <v>214</v>
      </c>
      <c r="D256" s="2" t="s">
        <v>18</v>
      </c>
      <c r="E256" s="4">
        <v>46</v>
      </c>
      <c r="F256" s="2" t="s">
        <v>100</v>
      </c>
      <c r="G256" s="2" t="s">
        <v>27</v>
      </c>
      <c r="H256" s="2" t="s">
        <v>81</v>
      </c>
      <c r="I256" s="4">
        <v>7</v>
      </c>
      <c r="J256" s="5">
        <v>119200</v>
      </c>
      <c r="K256" s="6">
        <v>0.05</v>
      </c>
      <c r="L256" s="2" t="s">
        <v>29</v>
      </c>
      <c r="M256" s="2" t="s">
        <v>30</v>
      </c>
      <c r="N256" s="5">
        <f t="shared" si="9"/>
        <v>834400</v>
      </c>
      <c r="O256" s="5">
        <f t="shared" si="10"/>
        <v>41720</v>
      </c>
      <c r="P256" s="5">
        <f t="shared" si="11"/>
        <v>792680</v>
      </c>
    </row>
    <row r="257" spans="1:16" x14ac:dyDescent="0.25">
      <c r="A257" s="2" t="s">
        <v>371</v>
      </c>
      <c r="B257" s="3">
        <v>46188</v>
      </c>
      <c r="C257" s="2" t="s">
        <v>137</v>
      </c>
      <c r="D257" s="2" t="s">
        <v>33</v>
      </c>
      <c r="E257" s="4">
        <v>23</v>
      </c>
      <c r="F257" s="2" t="s">
        <v>71</v>
      </c>
      <c r="G257" s="2" t="s">
        <v>20</v>
      </c>
      <c r="H257" s="2" t="s">
        <v>21</v>
      </c>
      <c r="I257" s="4">
        <v>2</v>
      </c>
      <c r="J257" s="5">
        <v>3000</v>
      </c>
      <c r="K257" s="6">
        <v>0.02</v>
      </c>
      <c r="L257" s="2" t="s">
        <v>47</v>
      </c>
      <c r="M257" s="2" t="s">
        <v>94</v>
      </c>
      <c r="N257" s="5">
        <f t="shared" si="9"/>
        <v>6000</v>
      </c>
      <c r="O257" s="5">
        <f t="shared" si="10"/>
        <v>120</v>
      </c>
      <c r="P257" s="5">
        <f t="shared" si="11"/>
        <v>5880</v>
      </c>
    </row>
    <row r="258" spans="1:16" x14ac:dyDescent="0.25">
      <c r="A258" s="2" t="s">
        <v>372</v>
      </c>
      <c r="B258" s="3">
        <v>46044</v>
      </c>
      <c r="C258" s="2" t="s">
        <v>182</v>
      </c>
      <c r="D258" s="2" t="s">
        <v>18</v>
      </c>
      <c r="E258" s="4">
        <v>58</v>
      </c>
      <c r="F258" s="2" t="s">
        <v>26</v>
      </c>
      <c r="G258" s="2" t="s">
        <v>35</v>
      </c>
      <c r="H258" s="2" t="s">
        <v>55</v>
      </c>
      <c r="I258" s="4">
        <v>6</v>
      </c>
      <c r="J258" s="5">
        <v>4800</v>
      </c>
      <c r="K258" s="6">
        <v>0.02</v>
      </c>
      <c r="L258" s="2" t="s">
        <v>22</v>
      </c>
      <c r="M258" s="2" t="s">
        <v>56</v>
      </c>
      <c r="N258" s="5">
        <f t="shared" ref="N258:N321" si="12">I258*J258</f>
        <v>28800</v>
      </c>
      <c r="O258" s="5">
        <f t="shared" ref="O258:O321" si="13">N258*K258</f>
        <v>576</v>
      </c>
      <c r="P258" s="5">
        <f t="shared" ref="P258:P321" si="14">N258-O258</f>
        <v>28224</v>
      </c>
    </row>
    <row r="259" spans="1:16" x14ac:dyDescent="0.25">
      <c r="A259" s="2" t="s">
        <v>373</v>
      </c>
      <c r="B259" s="3">
        <v>46007</v>
      </c>
      <c r="C259" s="2" t="s">
        <v>245</v>
      </c>
      <c r="D259" s="2" t="s">
        <v>33</v>
      </c>
      <c r="E259" s="4">
        <v>41</v>
      </c>
      <c r="F259" s="2" t="s">
        <v>19</v>
      </c>
      <c r="G259" s="2" t="s">
        <v>45</v>
      </c>
      <c r="H259" s="2" t="s">
        <v>101</v>
      </c>
      <c r="I259" s="4">
        <v>3</v>
      </c>
      <c r="J259" s="5">
        <v>10900</v>
      </c>
      <c r="K259" s="6">
        <v>0.15</v>
      </c>
      <c r="L259" s="2" t="s">
        <v>47</v>
      </c>
      <c r="M259" s="2" t="s">
        <v>42</v>
      </c>
      <c r="N259" s="5">
        <f t="shared" si="12"/>
        <v>32700</v>
      </c>
      <c r="O259" s="5">
        <f t="shared" si="13"/>
        <v>4905</v>
      </c>
      <c r="P259" s="5">
        <f t="shared" si="14"/>
        <v>27795</v>
      </c>
    </row>
    <row r="260" spans="1:16" x14ac:dyDescent="0.25">
      <c r="A260" s="2" t="s">
        <v>374</v>
      </c>
      <c r="B260" s="3">
        <v>46134</v>
      </c>
      <c r="C260" s="2" t="s">
        <v>218</v>
      </c>
      <c r="D260" s="2" t="s">
        <v>33</v>
      </c>
      <c r="E260" s="4">
        <v>44</v>
      </c>
      <c r="F260" s="2" t="s">
        <v>40</v>
      </c>
      <c r="G260" s="2" t="s">
        <v>45</v>
      </c>
      <c r="H260" s="2" t="s">
        <v>46</v>
      </c>
      <c r="I260" s="4">
        <v>9</v>
      </c>
      <c r="J260" s="5">
        <v>191400</v>
      </c>
      <c r="K260" s="6">
        <v>0.02</v>
      </c>
      <c r="L260" s="2" t="s">
        <v>29</v>
      </c>
      <c r="M260" s="2" t="s">
        <v>30</v>
      </c>
      <c r="N260" s="5">
        <f t="shared" si="12"/>
        <v>1722600</v>
      </c>
      <c r="O260" s="5">
        <f t="shared" si="13"/>
        <v>34452</v>
      </c>
      <c r="P260" s="5">
        <f t="shared" si="14"/>
        <v>1688148</v>
      </c>
    </row>
    <row r="261" spans="1:16" x14ac:dyDescent="0.25">
      <c r="A261" s="2" t="s">
        <v>375</v>
      </c>
      <c r="B261" s="3">
        <v>46016</v>
      </c>
      <c r="C261" s="2" t="s">
        <v>137</v>
      </c>
      <c r="D261" s="2" t="s">
        <v>33</v>
      </c>
      <c r="E261" s="4">
        <v>18</v>
      </c>
      <c r="F261" s="2" t="s">
        <v>19</v>
      </c>
      <c r="G261" s="2" t="s">
        <v>51</v>
      </c>
      <c r="H261" s="2" t="s">
        <v>120</v>
      </c>
      <c r="I261" s="4">
        <v>9</v>
      </c>
      <c r="J261" s="5">
        <v>27800</v>
      </c>
      <c r="K261" s="6">
        <v>7.0000000000000007E-2</v>
      </c>
      <c r="L261" s="2" t="s">
        <v>29</v>
      </c>
      <c r="M261" s="2" t="s">
        <v>42</v>
      </c>
      <c r="N261" s="5">
        <f t="shared" si="12"/>
        <v>250200</v>
      </c>
      <c r="O261" s="5">
        <f t="shared" si="13"/>
        <v>17514</v>
      </c>
      <c r="P261" s="5">
        <f t="shared" si="14"/>
        <v>232686</v>
      </c>
    </row>
    <row r="262" spans="1:16" x14ac:dyDescent="0.25">
      <c r="A262" s="2" t="s">
        <v>376</v>
      </c>
      <c r="B262" s="3">
        <v>45936</v>
      </c>
      <c r="C262" s="2" t="s">
        <v>105</v>
      </c>
      <c r="D262" s="2" t="s">
        <v>33</v>
      </c>
      <c r="E262" s="4">
        <v>42</v>
      </c>
      <c r="F262" s="2" t="s">
        <v>26</v>
      </c>
      <c r="G262" s="2" t="s">
        <v>27</v>
      </c>
      <c r="H262" s="2" t="s">
        <v>81</v>
      </c>
      <c r="I262" s="4">
        <v>5</v>
      </c>
      <c r="J262" s="5">
        <v>109500</v>
      </c>
      <c r="K262" s="6">
        <v>0.18</v>
      </c>
      <c r="L262" s="2" t="s">
        <v>22</v>
      </c>
      <c r="M262" s="2" t="s">
        <v>48</v>
      </c>
      <c r="N262" s="5">
        <f t="shared" si="12"/>
        <v>547500</v>
      </c>
      <c r="O262" s="5">
        <f t="shared" si="13"/>
        <v>98550</v>
      </c>
      <c r="P262" s="5">
        <f t="shared" si="14"/>
        <v>448950</v>
      </c>
    </row>
    <row r="263" spans="1:16" x14ac:dyDescent="0.25">
      <c r="A263" s="2" t="s">
        <v>377</v>
      </c>
      <c r="B263" s="3">
        <v>45935</v>
      </c>
      <c r="C263" s="2" t="s">
        <v>107</v>
      </c>
      <c r="D263" s="2" t="s">
        <v>33</v>
      </c>
      <c r="E263" s="4">
        <v>35</v>
      </c>
      <c r="F263" s="2" t="s">
        <v>100</v>
      </c>
      <c r="G263" s="2" t="s">
        <v>20</v>
      </c>
      <c r="H263" s="2" t="s">
        <v>108</v>
      </c>
      <c r="I263" s="4">
        <v>6</v>
      </c>
      <c r="J263" s="5">
        <v>37500</v>
      </c>
      <c r="K263" s="6">
        <v>0.1</v>
      </c>
      <c r="L263" s="2" t="s">
        <v>22</v>
      </c>
      <c r="M263" s="2" t="s">
        <v>23</v>
      </c>
      <c r="N263" s="5">
        <f t="shared" si="12"/>
        <v>225000</v>
      </c>
      <c r="O263" s="5">
        <f t="shared" si="13"/>
        <v>22500</v>
      </c>
      <c r="P263" s="5">
        <f t="shared" si="14"/>
        <v>202500</v>
      </c>
    </row>
    <row r="264" spans="1:16" x14ac:dyDescent="0.25">
      <c r="A264" s="2" t="s">
        <v>378</v>
      </c>
      <c r="B264" s="3">
        <v>46154</v>
      </c>
      <c r="C264" s="2" t="s">
        <v>229</v>
      </c>
      <c r="D264" s="2" t="s">
        <v>18</v>
      </c>
      <c r="E264" s="4">
        <v>30</v>
      </c>
      <c r="F264" s="2" t="s">
        <v>100</v>
      </c>
      <c r="G264" s="2" t="s">
        <v>45</v>
      </c>
      <c r="H264" s="2" t="s">
        <v>101</v>
      </c>
      <c r="I264" s="4">
        <v>1</v>
      </c>
      <c r="J264" s="5">
        <v>18000</v>
      </c>
      <c r="K264" s="6">
        <v>0.15</v>
      </c>
      <c r="L264" s="2" t="s">
        <v>47</v>
      </c>
      <c r="M264" s="2" t="s">
        <v>30</v>
      </c>
      <c r="N264" s="5">
        <f t="shared" si="12"/>
        <v>18000</v>
      </c>
      <c r="O264" s="5">
        <f t="shared" si="13"/>
        <v>2700</v>
      </c>
      <c r="P264" s="5">
        <f t="shared" si="14"/>
        <v>15300</v>
      </c>
    </row>
    <row r="265" spans="1:16" x14ac:dyDescent="0.25">
      <c r="A265" s="2" t="s">
        <v>379</v>
      </c>
      <c r="B265" s="3">
        <v>46044</v>
      </c>
      <c r="C265" s="2" t="s">
        <v>177</v>
      </c>
      <c r="D265" s="2" t="s">
        <v>18</v>
      </c>
      <c r="E265" s="4">
        <v>46</v>
      </c>
      <c r="F265" s="2" t="s">
        <v>19</v>
      </c>
      <c r="G265" s="2" t="s">
        <v>51</v>
      </c>
      <c r="H265" s="2" t="s">
        <v>52</v>
      </c>
      <c r="I265" s="4">
        <v>6</v>
      </c>
      <c r="J265" s="5">
        <v>168800</v>
      </c>
      <c r="K265" s="6">
        <v>7.0000000000000007E-2</v>
      </c>
      <c r="L265" s="2" t="s">
        <v>47</v>
      </c>
      <c r="M265" s="2" t="s">
        <v>37</v>
      </c>
      <c r="N265" s="5">
        <f t="shared" si="12"/>
        <v>1012800</v>
      </c>
      <c r="O265" s="5">
        <f t="shared" si="13"/>
        <v>70896</v>
      </c>
      <c r="P265" s="5">
        <f t="shared" si="14"/>
        <v>941904</v>
      </c>
    </row>
    <row r="266" spans="1:16" x14ac:dyDescent="0.25">
      <c r="A266" s="2" t="s">
        <v>380</v>
      </c>
      <c r="B266" s="3">
        <v>45940</v>
      </c>
      <c r="C266" s="2" t="s">
        <v>116</v>
      </c>
      <c r="D266" s="2" t="s">
        <v>18</v>
      </c>
      <c r="E266" s="4">
        <v>38</v>
      </c>
      <c r="F266" s="2" t="s">
        <v>19</v>
      </c>
      <c r="G266" s="2" t="s">
        <v>35</v>
      </c>
      <c r="H266" s="2" t="s">
        <v>55</v>
      </c>
      <c r="I266" s="4">
        <v>4</v>
      </c>
      <c r="J266" s="5">
        <v>5900</v>
      </c>
      <c r="K266" s="6">
        <v>0.12</v>
      </c>
      <c r="L266" s="2" t="s">
        <v>47</v>
      </c>
      <c r="M266" s="2" t="s">
        <v>68</v>
      </c>
      <c r="N266" s="5">
        <f t="shared" si="12"/>
        <v>23600</v>
      </c>
      <c r="O266" s="5">
        <f t="shared" si="13"/>
        <v>2832</v>
      </c>
      <c r="P266" s="5">
        <f t="shared" si="14"/>
        <v>20768</v>
      </c>
    </row>
    <row r="267" spans="1:16" x14ac:dyDescent="0.25">
      <c r="A267" s="2" t="s">
        <v>381</v>
      </c>
      <c r="B267" s="3">
        <v>46051</v>
      </c>
      <c r="C267" s="2" t="s">
        <v>283</v>
      </c>
      <c r="D267" s="2" t="s">
        <v>18</v>
      </c>
      <c r="E267" s="4">
        <v>25</v>
      </c>
      <c r="F267" s="2" t="s">
        <v>71</v>
      </c>
      <c r="G267" s="2" t="s">
        <v>27</v>
      </c>
      <c r="H267" s="2" t="s">
        <v>41</v>
      </c>
      <c r="I267" s="4">
        <v>9</v>
      </c>
      <c r="J267" s="5">
        <v>179400</v>
      </c>
      <c r="K267" s="6">
        <v>0</v>
      </c>
      <c r="L267" s="2" t="s">
        <v>29</v>
      </c>
      <c r="M267" s="2" t="s">
        <v>23</v>
      </c>
      <c r="N267" s="5">
        <f t="shared" si="12"/>
        <v>1614600</v>
      </c>
      <c r="O267" s="5">
        <f t="shared" si="13"/>
        <v>0</v>
      </c>
      <c r="P267" s="5">
        <f t="shared" si="14"/>
        <v>1614600</v>
      </c>
    </row>
    <row r="268" spans="1:16" x14ac:dyDescent="0.25">
      <c r="A268" s="2" t="s">
        <v>382</v>
      </c>
      <c r="B268" s="3">
        <v>46212</v>
      </c>
      <c r="C268" s="2" t="s">
        <v>32</v>
      </c>
      <c r="D268" s="2" t="s">
        <v>33</v>
      </c>
      <c r="E268" s="4">
        <v>46</v>
      </c>
      <c r="F268" s="2" t="s">
        <v>19</v>
      </c>
      <c r="G268" s="2" t="s">
        <v>35</v>
      </c>
      <c r="H268" s="2" t="s">
        <v>125</v>
      </c>
      <c r="I268" s="4">
        <v>7</v>
      </c>
      <c r="J268" s="5">
        <v>2300</v>
      </c>
      <c r="K268" s="6">
        <v>0.18</v>
      </c>
      <c r="L268" s="2" t="s">
        <v>22</v>
      </c>
      <c r="M268" s="2" t="s">
        <v>68</v>
      </c>
      <c r="N268" s="5">
        <f t="shared" si="12"/>
        <v>16100</v>
      </c>
      <c r="O268" s="5">
        <f t="shared" si="13"/>
        <v>2898</v>
      </c>
      <c r="P268" s="5">
        <f t="shared" si="14"/>
        <v>13202</v>
      </c>
    </row>
    <row r="269" spans="1:16" x14ac:dyDescent="0.25">
      <c r="A269" s="2" t="s">
        <v>383</v>
      </c>
      <c r="B269" s="3">
        <v>45973</v>
      </c>
      <c r="C269" s="2" t="s">
        <v>110</v>
      </c>
      <c r="D269" s="2" t="s">
        <v>18</v>
      </c>
      <c r="E269" s="4">
        <v>60</v>
      </c>
      <c r="F269" s="2" t="s">
        <v>26</v>
      </c>
      <c r="G269" s="2" t="s">
        <v>35</v>
      </c>
      <c r="H269" s="2" t="s">
        <v>55</v>
      </c>
      <c r="I269" s="4">
        <v>2</v>
      </c>
      <c r="J269" s="5">
        <v>5000</v>
      </c>
      <c r="K269" s="6">
        <v>0.18</v>
      </c>
      <c r="L269" s="2" t="s">
        <v>29</v>
      </c>
      <c r="M269" s="2" t="s">
        <v>23</v>
      </c>
      <c r="N269" s="5">
        <f t="shared" si="12"/>
        <v>10000</v>
      </c>
      <c r="O269" s="5">
        <f t="shared" si="13"/>
        <v>1800</v>
      </c>
      <c r="P269" s="5">
        <f t="shared" si="14"/>
        <v>8200</v>
      </c>
    </row>
    <row r="270" spans="1:16" x14ac:dyDescent="0.25">
      <c r="A270" s="2" t="s">
        <v>384</v>
      </c>
      <c r="B270" s="3">
        <v>46148</v>
      </c>
      <c r="C270" s="2" t="s">
        <v>116</v>
      </c>
      <c r="D270" s="2" t="s">
        <v>18</v>
      </c>
      <c r="E270" s="4">
        <v>52</v>
      </c>
      <c r="F270" s="2" t="s">
        <v>71</v>
      </c>
      <c r="G270" s="2" t="s">
        <v>35</v>
      </c>
      <c r="H270" s="2" t="s">
        <v>55</v>
      </c>
      <c r="I270" s="4">
        <v>1</v>
      </c>
      <c r="J270" s="5">
        <v>5700</v>
      </c>
      <c r="K270" s="6">
        <v>0.12</v>
      </c>
      <c r="L270" s="2" t="s">
        <v>29</v>
      </c>
      <c r="M270" s="2" t="s">
        <v>42</v>
      </c>
      <c r="N270" s="5">
        <f t="shared" si="12"/>
        <v>5700</v>
      </c>
      <c r="O270" s="5">
        <f t="shared" si="13"/>
        <v>684</v>
      </c>
      <c r="P270" s="5">
        <f t="shared" si="14"/>
        <v>5016</v>
      </c>
    </row>
    <row r="271" spans="1:16" x14ac:dyDescent="0.25">
      <c r="A271" s="2" t="s">
        <v>385</v>
      </c>
      <c r="B271" s="3">
        <v>46154</v>
      </c>
      <c r="C271" s="2" t="s">
        <v>247</v>
      </c>
      <c r="D271" s="2" t="s">
        <v>33</v>
      </c>
      <c r="E271" s="4">
        <v>23</v>
      </c>
      <c r="F271" s="2" t="s">
        <v>40</v>
      </c>
      <c r="G271" s="2" t="s">
        <v>27</v>
      </c>
      <c r="H271" s="2" t="s">
        <v>81</v>
      </c>
      <c r="I271" s="4">
        <v>10</v>
      </c>
      <c r="J271" s="5">
        <v>91800</v>
      </c>
      <c r="K271" s="6">
        <v>0</v>
      </c>
      <c r="L271" s="2" t="s">
        <v>29</v>
      </c>
      <c r="M271" s="2" t="s">
        <v>112</v>
      </c>
      <c r="N271" s="5">
        <f t="shared" si="12"/>
        <v>918000</v>
      </c>
      <c r="O271" s="5">
        <f t="shared" si="13"/>
        <v>0</v>
      </c>
      <c r="P271" s="5">
        <f t="shared" si="14"/>
        <v>918000</v>
      </c>
    </row>
    <row r="272" spans="1:16" x14ac:dyDescent="0.25">
      <c r="A272" s="2" t="s">
        <v>386</v>
      </c>
      <c r="B272" s="3">
        <v>46019</v>
      </c>
      <c r="C272" s="2" t="s">
        <v>107</v>
      </c>
      <c r="D272" s="2" t="s">
        <v>33</v>
      </c>
      <c r="E272" s="4">
        <v>24</v>
      </c>
      <c r="F272" s="2" t="s">
        <v>40</v>
      </c>
      <c r="G272" s="2" t="s">
        <v>45</v>
      </c>
      <c r="H272" s="2" t="s">
        <v>187</v>
      </c>
      <c r="I272" s="4">
        <v>9</v>
      </c>
      <c r="J272" s="5">
        <v>89100</v>
      </c>
      <c r="K272" s="6">
        <v>0.2</v>
      </c>
      <c r="L272" s="2" t="s">
        <v>29</v>
      </c>
      <c r="M272" s="2" t="s">
        <v>30</v>
      </c>
      <c r="N272" s="5">
        <f t="shared" si="12"/>
        <v>801900</v>
      </c>
      <c r="O272" s="5">
        <f t="shared" si="13"/>
        <v>160380</v>
      </c>
      <c r="P272" s="5">
        <f t="shared" si="14"/>
        <v>641520</v>
      </c>
    </row>
    <row r="273" spans="1:16" x14ac:dyDescent="0.25">
      <c r="A273" s="2" t="s">
        <v>387</v>
      </c>
      <c r="B273" s="3">
        <v>46202</v>
      </c>
      <c r="C273" s="2" t="s">
        <v>118</v>
      </c>
      <c r="D273" s="2" t="s">
        <v>33</v>
      </c>
      <c r="E273" s="4">
        <v>32</v>
      </c>
      <c r="F273" s="2" t="s">
        <v>100</v>
      </c>
      <c r="G273" s="2" t="s">
        <v>20</v>
      </c>
      <c r="H273" s="2" t="s">
        <v>108</v>
      </c>
      <c r="I273" s="4">
        <v>10</v>
      </c>
      <c r="J273" s="5">
        <v>50200</v>
      </c>
      <c r="K273" s="6">
        <v>0.2</v>
      </c>
      <c r="L273" s="2" t="s">
        <v>22</v>
      </c>
      <c r="M273" s="2" t="s">
        <v>37</v>
      </c>
      <c r="N273" s="5">
        <f t="shared" si="12"/>
        <v>502000</v>
      </c>
      <c r="O273" s="5">
        <f t="shared" si="13"/>
        <v>100400</v>
      </c>
      <c r="P273" s="5">
        <f t="shared" si="14"/>
        <v>401600</v>
      </c>
    </row>
    <row r="274" spans="1:16" x14ac:dyDescent="0.25">
      <c r="A274" s="2" t="s">
        <v>388</v>
      </c>
      <c r="B274" s="3">
        <v>45862</v>
      </c>
      <c r="C274" s="2" t="s">
        <v>155</v>
      </c>
      <c r="D274" s="2" t="s">
        <v>18</v>
      </c>
      <c r="E274" s="4">
        <v>24</v>
      </c>
      <c r="F274" s="2" t="s">
        <v>19</v>
      </c>
      <c r="G274" s="2" t="s">
        <v>51</v>
      </c>
      <c r="H274" s="2" t="s">
        <v>111</v>
      </c>
      <c r="I274" s="4">
        <v>3</v>
      </c>
      <c r="J274" s="5">
        <v>280400</v>
      </c>
      <c r="K274" s="6">
        <v>0.12</v>
      </c>
      <c r="L274" s="2" t="s">
        <v>47</v>
      </c>
      <c r="M274" s="2" t="s">
        <v>37</v>
      </c>
      <c r="N274" s="5">
        <f t="shared" si="12"/>
        <v>841200</v>
      </c>
      <c r="O274" s="5">
        <f t="shared" si="13"/>
        <v>100944</v>
      </c>
      <c r="P274" s="5">
        <f t="shared" si="14"/>
        <v>740256</v>
      </c>
    </row>
    <row r="275" spans="1:16" x14ac:dyDescent="0.25">
      <c r="A275" s="2" t="s">
        <v>389</v>
      </c>
      <c r="B275" s="3">
        <v>46083</v>
      </c>
      <c r="C275" s="2" t="s">
        <v>32</v>
      </c>
      <c r="D275" s="2" t="s">
        <v>33</v>
      </c>
      <c r="E275" s="4">
        <v>51</v>
      </c>
      <c r="F275" s="2" t="s">
        <v>100</v>
      </c>
      <c r="G275" s="2" t="s">
        <v>20</v>
      </c>
      <c r="H275" s="2" t="s">
        <v>108</v>
      </c>
      <c r="I275" s="4">
        <v>8</v>
      </c>
      <c r="J275" s="5">
        <v>38200</v>
      </c>
      <c r="K275" s="6">
        <v>0.18</v>
      </c>
      <c r="L275" s="2" t="s">
        <v>47</v>
      </c>
      <c r="M275" s="2" t="s">
        <v>48</v>
      </c>
      <c r="N275" s="5">
        <f t="shared" si="12"/>
        <v>305600</v>
      </c>
      <c r="O275" s="5">
        <f t="shared" si="13"/>
        <v>55008</v>
      </c>
      <c r="P275" s="5">
        <f t="shared" si="14"/>
        <v>250592</v>
      </c>
    </row>
    <row r="276" spans="1:16" x14ac:dyDescent="0.25">
      <c r="A276" s="2" t="s">
        <v>390</v>
      </c>
      <c r="B276" s="3">
        <v>46003</v>
      </c>
      <c r="C276" s="2" t="s">
        <v>96</v>
      </c>
      <c r="D276" s="2" t="s">
        <v>18</v>
      </c>
      <c r="E276" s="4">
        <v>63</v>
      </c>
      <c r="F276" s="2" t="s">
        <v>40</v>
      </c>
      <c r="G276" s="2" t="s">
        <v>45</v>
      </c>
      <c r="H276" s="2" t="s">
        <v>187</v>
      </c>
      <c r="I276" s="4">
        <v>2</v>
      </c>
      <c r="J276" s="5">
        <v>144900</v>
      </c>
      <c r="K276" s="6">
        <v>0.05</v>
      </c>
      <c r="L276" s="2" t="s">
        <v>29</v>
      </c>
      <c r="M276" s="2" t="s">
        <v>60</v>
      </c>
      <c r="N276" s="5">
        <f t="shared" si="12"/>
        <v>289800</v>
      </c>
      <c r="O276" s="5">
        <f t="shared" si="13"/>
        <v>14490</v>
      </c>
      <c r="P276" s="5">
        <f t="shared" si="14"/>
        <v>275310</v>
      </c>
    </row>
    <row r="277" spans="1:16" x14ac:dyDescent="0.25">
      <c r="A277" s="2" t="s">
        <v>391</v>
      </c>
      <c r="B277" s="3">
        <v>46114</v>
      </c>
      <c r="C277" s="2" t="s">
        <v>325</v>
      </c>
      <c r="D277" s="2" t="s">
        <v>18</v>
      </c>
      <c r="E277" s="4">
        <v>53</v>
      </c>
      <c r="F277" s="2" t="s">
        <v>26</v>
      </c>
      <c r="G277" s="2" t="s">
        <v>20</v>
      </c>
      <c r="H277" s="2" t="s">
        <v>108</v>
      </c>
      <c r="I277" s="4">
        <v>4</v>
      </c>
      <c r="J277" s="5">
        <v>50100</v>
      </c>
      <c r="K277" s="6">
        <v>0.15</v>
      </c>
      <c r="L277" s="2" t="s">
        <v>29</v>
      </c>
      <c r="M277" s="2" t="s">
        <v>94</v>
      </c>
      <c r="N277" s="5">
        <f t="shared" si="12"/>
        <v>200400</v>
      </c>
      <c r="O277" s="5">
        <f t="shared" si="13"/>
        <v>30060</v>
      </c>
      <c r="P277" s="5">
        <f t="shared" si="14"/>
        <v>170340</v>
      </c>
    </row>
    <row r="278" spans="1:16" x14ac:dyDescent="0.25">
      <c r="A278" s="2" t="s">
        <v>392</v>
      </c>
      <c r="B278" s="3">
        <v>45945</v>
      </c>
      <c r="C278" s="2" t="s">
        <v>247</v>
      </c>
      <c r="D278" s="2" t="s">
        <v>33</v>
      </c>
      <c r="E278" s="4">
        <v>60</v>
      </c>
      <c r="F278" s="2" t="s">
        <v>100</v>
      </c>
      <c r="G278" s="2" t="s">
        <v>51</v>
      </c>
      <c r="H278" s="2" t="s">
        <v>111</v>
      </c>
      <c r="I278" s="4">
        <v>10</v>
      </c>
      <c r="J278" s="5">
        <v>443300</v>
      </c>
      <c r="K278" s="6">
        <v>7.0000000000000007E-2</v>
      </c>
      <c r="L278" s="2" t="s">
        <v>47</v>
      </c>
      <c r="M278" s="2" t="s">
        <v>30</v>
      </c>
      <c r="N278" s="5">
        <f t="shared" si="12"/>
        <v>4433000</v>
      </c>
      <c r="O278" s="5">
        <f t="shared" si="13"/>
        <v>310310.00000000006</v>
      </c>
      <c r="P278" s="5">
        <f t="shared" si="14"/>
        <v>4122690</v>
      </c>
    </row>
    <row r="279" spans="1:16" x14ac:dyDescent="0.25">
      <c r="A279" s="2" t="s">
        <v>393</v>
      </c>
      <c r="B279" s="3">
        <v>46069</v>
      </c>
      <c r="C279" s="2" t="s">
        <v>137</v>
      </c>
      <c r="D279" s="2" t="s">
        <v>33</v>
      </c>
      <c r="E279" s="4">
        <v>18</v>
      </c>
      <c r="F279" s="2" t="s">
        <v>34</v>
      </c>
      <c r="G279" s="2" t="s">
        <v>27</v>
      </c>
      <c r="H279" s="2" t="s">
        <v>41</v>
      </c>
      <c r="I279" s="4">
        <v>2</v>
      </c>
      <c r="J279" s="5">
        <v>126500</v>
      </c>
      <c r="K279" s="6">
        <v>0.02</v>
      </c>
      <c r="L279" s="2" t="s">
        <v>29</v>
      </c>
      <c r="M279" s="2" t="s">
        <v>94</v>
      </c>
      <c r="N279" s="5">
        <f t="shared" si="12"/>
        <v>253000</v>
      </c>
      <c r="O279" s="5">
        <f t="shared" si="13"/>
        <v>5060</v>
      </c>
      <c r="P279" s="5">
        <f t="shared" si="14"/>
        <v>247940</v>
      </c>
    </row>
    <row r="280" spans="1:16" x14ac:dyDescent="0.25">
      <c r="A280" s="2" t="s">
        <v>394</v>
      </c>
      <c r="B280" s="3">
        <v>46037</v>
      </c>
      <c r="C280" s="2" t="s">
        <v>237</v>
      </c>
      <c r="D280" s="2" t="s">
        <v>18</v>
      </c>
      <c r="E280" s="4">
        <v>30</v>
      </c>
      <c r="F280" s="2" t="s">
        <v>100</v>
      </c>
      <c r="G280" s="2" t="s">
        <v>45</v>
      </c>
      <c r="H280" s="2" t="s">
        <v>187</v>
      </c>
      <c r="I280" s="4">
        <v>8</v>
      </c>
      <c r="J280" s="5">
        <v>147900</v>
      </c>
      <c r="K280" s="6">
        <v>0.2</v>
      </c>
      <c r="L280" s="2" t="s">
        <v>29</v>
      </c>
      <c r="M280" s="2" t="s">
        <v>37</v>
      </c>
      <c r="N280" s="5">
        <f t="shared" si="12"/>
        <v>1183200</v>
      </c>
      <c r="O280" s="5">
        <f t="shared" si="13"/>
        <v>236640</v>
      </c>
      <c r="P280" s="5">
        <f t="shared" si="14"/>
        <v>946560</v>
      </c>
    </row>
    <row r="281" spans="1:16" x14ac:dyDescent="0.25">
      <c r="A281" s="2" t="s">
        <v>395</v>
      </c>
      <c r="B281" s="3">
        <v>46155</v>
      </c>
      <c r="C281" s="2" t="s">
        <v>137</v>
      </c>
      <c r="D281" s="2" t="s">
        <v>33</v>
      </c>
      <c r="E281" s="4">
        <v>57</v>
      </c>
      <c r="F281" s="2" t="s">
        <v>100</v>
      </c>
      <c r="G281" s="2" t="s">
        <v>65</v>
      </c>
      <c r="H281" s="2" t="s">
        <v>66</v>
      </c>
      <c r="I281" s="4">
        <v>6</v>
      </c>
      <c r="J281" s="5">
        <v>3900</v>
      </c>
      <c r="K281" s="6">
        <v>0.18</v>
      </c>
      <c r="L281" s="2" t="s">
        <v>29</v>
      </c>
      <c r="M281" s="2" t="s">
        <v>94</v>
      </c>
      <c r="N281" s="5">
        <f t="shared" si="12"/>
        <v>23400</v>
      </c>
      <c r="O281" s="5">
        <f t="shared" si="13"/>
        <v>4212</v>
      </c>
      <c r="P281" s="5">
        <f t="shared" si="14"/>
        <v>19188</v>
      </c>
    </row>
    <row r="282" spans="1:16" x14ac:dyDescent="0.25">
      <c r="A282" s="2" t="s">
        <v>396</v>
      </c>
      <c r="B282" s="3">
        <v>46194</v>
      </c>
      <c r="C282" s="2" t="s">
        <v>182</v>
      </c>
      <c r="D282" s="2" t="s">
        <v>18</v>
      </c>
      <c r="E282" s="4">
        <v>37</v>
      </c>
      <c r="F282" s="2" t="s">
        <v>71</v>
      </c>
      <c r="G282" s="2" t="s">
        <v>65</v>
      </c>
      <c r="H282" s="2" t="s">
        <v>66</v>
      </c>
      <c r="I282" s="4">
        <v>3</v>
      </c>
      <c r="J282" s="5">
        <v>5300</v>
      </c>
      <c r="K282" s="6">
        <v>0.12</v>
      </c>
      <c r="L282" s="2" t="s">
        <v>22</v>
      </c>
      <c r="M282" s="2" t="s">
        <v>60</v>
      </c>
      <c r="N282" s="5">
        <f t="shared" si="12"/>
        <v>15900</v>
      </c>
      <c r="O282" s="5">
        <f t="shared" si="13"/>
        <v>1908</v>
      </c>
      <c r="P282" s="5">
        <f t="shared" si="14"/>
        <v>13992</v>
      </c>
    </row>
    <row r="283" spans="1:16" x14ac:dyDescent="0.25">
      <c r="A283" s="2" t="s">
        <v>397</v>
      </c>
      <c r="B283" s="3">
        <v>46006</v>
      </c>
      <c r="C283" s="2" t="s">
        <v>143</v>
      </c>
      <c r="D283" s="2" t="s">
        <v>33</v>
      </c>
      <c r="E283" s="4">
        <v>29</v>
      </c>
      <c r="F283" s="2" t="s">
        <v>19</v>
      </c>
      <c r="G283" s="2" t="s">
        <v>35</v>
      </c>
      <c r="H283" s="2" t="s">
        <v>36</v>
      </c>
      <c r="I283" s="4">
        <v>7</v>
      </c>
      <c r="J283" s="5">
        <v>4000</v>
      </c>
      <c r="K283" s="6">
        <v>0.15</v>
      </c>
      <c r="L283" s="2" t="s">
        <v>29</v>
      </c>
      <c r="M283" s="2" t="s">
        <v>94</v>
      </c>
      <c r="N283" s="5">
        <f t="shared" si="12"/>
        <v>28000</v>
      </c>
      <c r="O283" s="5">
        <f t="shared" si="13"/>
        <v>4200</v>
      </c>
      <c r="P283" s="5">
        <f t="shared" si="14"/>
        <v>23800</v>
      </c>
    </row>
    <row r="284" spans="1:16" x14ac:dyDescent="0.25">
      <c r="A284" s="2" t="s">
        <v>398</v>
      </c>
      <c r="B284" s="3">
        <v>46144</v>
      </c>
      <c r="C284" s="2" t="s">
        <v>137</v>
      </c>
      <c r="D284" s="2" t="s">
        <v>33</v>
      </c>
      <c r="E284" s="4">
        <v>45</v>
      </c>
      <c r="F284" s="2" t="s">
        <v>26</v>
      </c>
      <c r="G284" s="2" t="s">
        <v>51</v>
      </c>
      <c r="H284" s="2" t="s">
        <v>52</v>
      </c>
      <c r="I284" s="4">
        <v>3</v>
      </c>
      <c r="J284" s="5">
        <v>235500</v>
      </c>
      <c r="K284" s="6">
        <v>0.18</v>
      </c>
      <c r="L284" s="2" t="s">
        <v>47</v>
      </c>
      <c r="M284" s="2" t="s">
        <v>94</v>
      </c>
      <c r="N284" s="5">
        <f t="shared" si="12"/>
        <v>706500</v>
      </c>
      <c r="O284" s="5">
        <f t="shared" si="13"/>
        <v>127170</v>
      </c>
      <c r="P284" s="5">
        <f t="shared" si="14"/>
        <v>579330</v>
      </c>
    </row>
    <row r="285" spans="1:16" x14ac:dyDescent="0.25">
      <c r="A285" s="2" t="s">
        <v>399</v>
      </c>
      <c r="B285" s="3">
        <v>45945</v>
      </c>
      <c r="C285" s="2" t="s">
        <v>237</v>
      </c>
      <c r="D285" s="2" t="s">
        <v>18</v>
      </c>
      <c r="E285" s="4">
        <v>46</v>
      </c>
      <c r="F285" s="2" t="s">
        <v>71</v>
      </c>
      <c r="G285" s="2" t="s">
        <v>45</v>
      </c>
      <c r="H285" s="2" t="s">
        <v>187</v>
      </c>
      <c r="I285" s="4">
        <v>8</v>
      </c>
      <c r="J285" s="5">
        <v>61300</v>
      </c>
      <c r="K285" s="6">
        <v>0.05</v>
      </c>
      <c r="L285" s="2" t="s">
        <v>22</v>
      </c>
      <c r="M285" s="2" t="s">
        <v>112</v>
      </c>
      <c r="N285" s="5">
        <f t="shared" si="12"/>
        <v>490400</v>
      </c>
      <c r="O285" s="5">
        <f t="shared" si="13"/>
        <v>24520</v>
      </c>
      <c r="P285" s="5">
        <f t="shared" si="14"/>
        <v>465880</v>
      </c>
    </row>
    <row r="286" spans="1:16" x14ac:dyDescent="0.25">
      <c r="A286" s="2" t="s">
        <v>400</v>
      </c>
      <c r="B286" s="3">
        <v>46137</v>
      </c>
      <c r="C286" s="2" t="s">
        <v>218</v>
      </c>
      <c r="D286" s="2" t="s">
        <v>33</v>
      </c>
      <c r="E286" s="4">
        <v>59</v>
      </c>
      <c r="F286" s="2" t="s">
        <v>100</v>
      </c>
      <c r="G286" s="2" t="s">
        <v>51</v>
      </c>
      <c r="H286" s="2" t="s">
        <v>120</v>
      </c>
      <c r="I286" s="4">
        <v>8</v>
      </c>
      <c r="J286" s="5">
        <v>38600</v>
      </c>
      <c r="K286" s="6">
        <v>0.18</v>
      </c>
      <c r="L286" s="2" t="s">
        <v>22</v>
      </c>
      <c r="M286" s="2" t="s">
        <v>48</v>
      </c>
      <c r="N286" s="5">
        <f t="shared" si="12"/>
        <v>308800</v>
      </c>
      <c r="O286" s="5">
        <f t="shared" si="13"/>
        <v>55584</v>
      </c>
      <c r="P286" s="5">
        <f t="shared" si="14"/>
        <v>253216</v>
      </c>
    </row>
    <row r="287" spans="1:16" x14ac:dyDescent="0.25">
      <c r="A287" s="2" t="s">
        <v>401</v>
      </c>
      <c r="B287" s="3">
        <v>46139</v>
      </c>
      <c r="C287" s="2" t="s">
        <v>17</v>
      </c>
      <c r="D287" s="2" t="s">
        <v>18</v>
      </c>
      <c r="E287" s="4">
        <v>32</v>
      </c>
      <c r="F287" s="2" t="s">
        <v>19</v>
      </c>
      <c r="G287" s="2" t="s">
        <v>45</v>
      </c>
      <c r="H287" s="2" t="s">
        <v>187</v>
      </c>
      <c r="I287" s="4">
        <v>9</v>
      </c>
      <c r="J287" s="5">
        <v>89500</v>
      </c>
      <c r="K287" s="6">
        <v>0.1</v>
      </c>
      <c r="L287" s="2" t="s">
        <v>22</v>
      </c>
      <c r="M287" s="2" t="s">
        <v>23</v>
      </c>
      <c r="N287" s="5">
        <f t="shared" si="12"/>
        <v>805500</v>
      </c>
      <c r="O287" s="5">
        <f t="shared" si="13"/>
        <v>80550</v>
      </c>
      <c r="P287" s="5">
        <f t="shared" si="14"/>
        <v>724950</v>
      </c>
    </row>
    <row r="288" spans="1:16" x14ac:dyDescent="0.25">
      <c r="A288" s="2" t="s">
        <v>402</v>
      </c>
      <c r="B288" s="3">
        <v>46139</v>
      </c>
      <c r="C288" s="2" t="s">
        <v>73</v>
      </c>
      <c r="D288" s="2" t="s">
        <v>18</v>
      </c>
      <c r="E288" s="4">
        <v>49</v>
      </c>
      <c r="F288" s="2" t="s">
        <v>71</v>
      </c>
      <c r="G288" s="2" t="s">
        <v>65</v>
      </c>
      <c r="H288" s="2" t="s">
        <v>66</v>
      </c>
      <c r="I288" s="4">
        <v>2</v>
      </c>
      <c r="J288" s="5">
        <v>4800</v>
      </c>
      <c r="K288" s="6">
        <v>0.1</v>
      </c>
      <c r="L288" s="2" t="s">
        <v>29</v>
      </c>
      <c r="M288" s="2" t="s">
        <v>37</v>
      </c>
      <c r="N288" s="5">
        <f t="shared" si="12"/>
        <v>9600</v>
      </c>
      <c r="O288" s="5">
        <f t="shared" si="13"/>
        <v>960</v>
      </c>
      <c r="P288" s="5">
        <f t="shared" si="14"/>
        <v>8640</v>
      </c>
    </row>
    <row r="289" spans="1:16" x14ac:dyDescent="0.25">
      <c r="A289" s="2" t="s">
        <v>403</v>
      </c>
      <c r="B289" s="3">
        <v>46127</v>
      </c>
      <c r="C289" s="2" t="s">
        <v>25</v>
      </c>
      <c r="D289" s="2" t="s">
        <v>18</v>
      </c>
      <c r="E289" s="4">
        <v>20</v>
      </c>
      <c r="F289" s="2" t="s">
        <v>34</v>
      </c>
      <c r="G289" s="2" t="s">
        <v>51</v>
      </c>
      <c r="H289" s="2" t="s">
        <v>52</v>
      </c>
      <c r="I289" s="4">
        <v>2</v>
      </c>
      <c r="J289" s="5">
        <v>201500</v>
      </c>
      <c r="K289" s="6">
        <v>7.0000000000000007E-2</v>
      </c>
      <c r="L289" s="2" t="s">
        <v>47</v>
      </c>
      <c r="M289" s="2" t="s">
        <v>56</v>
      </c>
      <c r="N289" s="5">
        <f t="shared" si="12"/>
        <v>403000</v>
      </c>
      <c r="O289" s="5">
        <f t="shared" si="13"/>
        <v>28210.000000000004</v>
      </c>
      <c r="P289" s="5">
        <f t="shared" si="14"/>
        <v>374790</v>
      </c>
    </row>
    <row r="290" spans="1:16" x14ac:dyDescent="0.25">
      <c r="A290" s="2" t="s">
        <v>404</v>
      </c>
      <c r="B290" s="3">
        <v>46080</v>
      </c>
      <c r="C290" s="2" t="s">
        <v>110</v>
      </c>
      <c r="D290" s="2" t="s">
        <v>18</v>
      </c>
      <c r="E290" s="4">
        <v>40</v>
      </c>
      <c r="F290" s="2" t="s">
        <v>40</v>
      </c>
      <c r="G290" s="2" t="s">
        <v>51</v>
      </c>
      <c r="H290" s="2" t="s">
        <v>111</v>
      </c>
      <c r="I290" s="4">
        <v>4</v>
      </c>
      <c r="J290" s="5">
        <v>312100</v>
      </c>
      <c r="K290" s="6">
        <v>0.12</v>
      </c>
      <c r="L290" s="2" t="s">
        <v>29</v>
      </c>
      <c r="M290" s="2" t="s">
        <v>30</v>
      </c>
      <c r="N290" s="5">
        <f t="shared" si="12"/>
        <v>1248400</v>
      </c>
      <c r="O290" s="5">
        <f t="shared" si="13"/>
        <v>149808</v>
      </c>
      <c r="P290" s="5">
        <f t="shared" si="14"/>
        <v>1098592</v>
      </c>
    </row>
    <row r="291" spans="1:16" x14ac:dyDescent="0.25">
      <c r="A291" s="2" t="s">
        <v>405</v>
      </c>
      <c r="B291" s="3">
        <v>46173</v>
      </c>
      <c r="C291" s="2" t="s">
        <v>107</v>
      </c>
      <c r="D291" s="2" t="s">
        <v>33</v>
      </c>
      <c r="E291" s="4">
        <v>28</v>
      </c>
      <c r="F291" s="2" t="s">
        <v>71</v>
      </c>
      <c r="G291" s="2" t="s">
        <v>27</v>
      </c>
      <c r="H291" s="2" t="s">
        <v>41</v>
      </c>
      <c r="I291" s="4">
        <v>1</v>
      </c>
      <c r="J291" s="5">
        <v>117100</v>
      </c>
      <c r="K291" s="6">
        <v>0.12</v>
      </c>
      <c r="L291" s="2" t="s">
        <v>29</v>
      </c>
      <c r="M291" s="2" t="s">
        <v>68</v>
      </c>
      <c r="N291" s="5">
        <f t="shared" si="12"/>
        <v>117100</v>
      </c>
      <c r="O291" s="5">
        <f t="shared" si="13"/>
        <v>14052</v>
      </c>
      <c r="P291" s="5">
        <f t="shared" si="14"/>
        <v>103048</v>
      </c>
    </row>
    <row r="292" spans="1:16" x14ac:dyDescent="0.25">
      <c r="A292" s="2" t="s">
        <v>406</v>
      </c>
      <c r="B292" s="3">
        <v>46155</v>
      </c>
      <c r="C292" s="2" t="s">
        <v>62</v>
      </c>
      <c r="D292" s="2" t="s">
        <v>18</v>
      </c>
      <c r="E292" s="4">
        <v>28</v>
      </c>
      <c r="F292" s="2" t="s">
        <v>19</v>
      </c>
      <c r="G292" s="2" t="s">
        <v>35</v>
      </c>
      <c r="H292" s="2" t="s">
        <v>74</v>
      </c>
      <c r="I292" s="4">
        <v>10</v>
      </c>
      <c r="J292" s="5">
        <v>3200</v>
      </c>
      <c r="K292" s="6">
        <v>0.1</v>
      </c>
      <c r="L292" s="2" t="s">
        <v>29</v>
      </c>
      <c r="M292" s="2" t="s">
        <v>48</v>
      </c>
      <c r="N292" s="5">
        <f t="shared" si="12"/>
        <v>32000</v>
      </c>
      <c r="O292" s="5">
        <f t="shared" si="13"/>
        <v>3200</v>
      </c>
      <c r="P292" s="5">
        <f t="shared" si="14"/>
        <v>28800</v>
      </c>
    </row>
    <row r="293" spans="1:16" x14ac:dyDescent="0.25">
      <c r="A293" s="2" t="s">
        <v>407</v>
      </c>
      <c r="B293" s="3">
        <v>45919</v>
      </c>
      <c r="C293" s="2" t="s">
        <v>25</v>
      </c>
      <c r="D293" s="2" t="s">
        <v>18</v>
      </c>
      <c r="E293" s="4">
        <v>44</v>
      </c>
      <c r="F293" s="2" t="s">
        <v>40</v>
      </c>
      <c r="G293" s="2" t="s">
        <v>20</v>
      </c>
      <c r="H293" s="2" t="s">
        <v>21</v>
      </c>
      <c r="I293" s="4">
        <v>3</v>
      </c>
      <c r="J293" s="5">
        <v>2900</v>
      </c>
      <c r="K293" s="6">
        <v>7.0000000000000007E-2</v>
      </c>
      <c r="L293" s="2" t="s">
        <v>22</v>
      </c>
      <c r="M293" s="2" t="s">
        <v>37</v>
      </c>
      <c r="N293" s="5">
        <f t="shared" si="12"/>
        <v>8700</v>
      </c>
      <c r="O293" s="5">
        <f t="shared" si="13"/>
        <v>609.00000000000011</v>
      </c>
      <c r="P293" s="5">
        <f t="shared" si="14"/>
        <v>8091</v>
      </c>
    </row>
    <row r="294" spans="1:16" x14ac:dyDescent="0.25">
      <c r="A294" s="2" t="s">
        <v>408</v>
      </c>
      <c r="B294" s="3">
        <v>45976</v>
      </c>
      <c r="C294" s="2" t="s">
        <v>25</v>
      </c>
      <c r="D294" s="2" t="s">
        <v>18</v>
      </c>
      <c r="E294" s="4">
        <v>61</v>
      </c>
      <c r="F294" s="2" t="s">
        <v>100</v>
      </c>
      <c r="G294" s="2" t="s">
        <v>51</v>
      </c>
      <c r="H294" s="2" t="s">
        <v>52</v>
      </c>
      <c r="I294" s="4">
        <v>5</v>
      </c>
      <c r="J294" s="5">
        <v>241400</v>
      </c>
      <c r="K294" s="6">
        <v>0.15</v>
      </c>
      <c r="L294" s="2" t="s">
        <v>47</v>
      </c>
      <c r="M294" s="2" t="s">
        <v>23</v>
      </c>
      <c r="N294" s="5">
        <f t="shared" si="12"/>
        <v>1207000</v>
      </c>
      <c r="O294" s="5">
        <f t="shared" si="13"/>
        <v>181050</v>
      </c>
      <c r="P294" s="5">
        <f t="shared" si="14"/>
        <v>1025950</v>
      </c>
    </row>
    <row r="295" spans="1:16" x14ac:dyDescent="0.25">
      <c r="A295" s="2" t="s">
        <v>409</v>
      </c>
      <c r="B295" s="3">
        <v>45888</v>
      </c>
      <c r="C295" s="2" t="s">
        <v>247</v>
      </c>
      <c r="D295" s="2" t="s">
        <v>33</v>
      </c>
      <c r="E295" s="4">
        <v>23</v>
      </c>
      <c r="F295" s="2" t="s">
        <v>100</v>
      </c>
      <c r="G295" s="2" t="s">
        <v>65</v>
      </c>
      <c r="H295" s="2" t="s">
        <v>172</v>
      </c>
      <c r="I295" s="4">
        <v>6</v>
      </c>
      <c r="J295" s="5">
        <v>5800</v>
      </c>
      <c r="K295" s="6">
        <v>0.18</v>
      </c>
      <c r="L295" s="2" t="s">
        <v>47</v>
      </c>
      <c r="M295" s="2" t="s">
        <v>37</v>
      </c>
      <c r="N295" s="5">
        <f t="shared" si="12"/>
        <v>34800</v>
      </c>
      <c r="O295" s="5">
        <f t="shared" si="13"/>
        <v>6264</v>
      </c>
      <c r="P295" s="5">
        <f t="shared" si="14"/>
        <v>28536</v>
      </c>
    </row>
    <row r="296" spans="1:16" x14ac:dyDescent="0.25">
      <c r="A296" s="2" t="s">
        <v>410</v>
      </c>
      <c r="B296" s="3">
        <v>46147</v>
      </c>
      <c r="C296" s="2" t="s">
        <v>83</v>
      </c>
      <c r="D296" s="2" t="s">
        <v>33</v>
      </c>
      <c r="E296" s="4">
        <v>64</v>
      </c>
      <c r="F296" s="2" t="s">
        <v>40</v>
      </c>
      <c r="G296" s="2" t="s">
        <v>35</v>
      </c>
      <c r="H296" s="2" t="s">
        <v>55</v>
      </c>
      <c r="I296" s="4">
        <v>2</v>
      </c>
      <c r="J296" s="5">
        <v>5000</v>
      </c>
      <c r="K296" s="6">
        <v>0.2</v>
      </c>
      <c r="L296" s="2" t="s">
        <v>47</v>
      </c>
      <c r="M296" s="2" t="s">
        <v>60</v>
      </c>
      <c r="N296" s="5">
        <f t="shared" si="12"/>
        <v>10000</v>
      </c>
      <c r="O296" s="5">
        <f t="shared" si="13"/>
        <v>2000</v>
      </c>
      <c r="P296" s="5">
        <f t="shared" si="14"/>
        <v>8000</v>
      </c>
    </row>
    <row r="297" spans="1:16" x14ac:dyDescent="0.25">
      <c r="A297" s="2" t="s">
        <v>411</v>
      </c>
      <c r="B297" s="3">
        <v>46069</v>
      </c>
      <c r="C297" s="2" t="s">
        <v>32</v>
      </c>
      <c r="D297" s="2" t="s">
        <v>33</v>
      </c>
      <c r="E297" s="4">
        <v>49</v>
      </c>
      <c r="F297" s="2" t="s">
        <v>19</v>
      </c>
      <c r="G297" s="2" t="s">
        <v>20</v>
      </c>
      <c r="H297" s="2" t="s">
        <v>86</v>
      </c>
      <c r="I297" s="4">
        <v>9</v>
      </c>
      <c r="J297" s="5">
        <v>10800</v>
      </c>
      <c r="K297" s="6">
        <v>0.05</v>
      </c>
      <c r="L297" s="2" t="s">
        <v>29</v>
      </c>
      <c r="M297" s="2" t="s">
        <v>23</v>
      </c>
      <c r="N297" s="5">
        <f t="shared" si="12"/>
        <v>97200</v>
      </c>
      <c r="O297" s="5">
        <f t="shared" si="13"/>
        <v>4860</v>
      </c>
      <c r="P297" s="5">
        <f t="shared" si="14"/>
        <v>92340</v>
      </c>
    </row>
    <row r="298" spans="1:16" x14ac:dyDescent="0.25">
      <c r="A298" s="2" t="s">
        <v>412</v>
      </c>
      <c r="B298" s="3">
        <v>46025</v>
      </c>
      <c r="C298" s="2" t="s">
        <v>105</v>
      </c>
      <c r="D298" s="2" t="s">
        <v>33</v>
      </c>
      <c r="E298" s="4">
        <v>21</v>
      </c>
      <c r="F298" s="2" t="s">
        <v>40</v>
      </c>
      <c r="G298" s="2" t="s">
        <v>45</v>
      </c>
      <c r="H298" s="2" t="s">
        <v>59</v>
      </c>
      <c r="I298" s="4">
        <v>2</v>
      </c>
      <c r="J298" s="5">
        <v>12100</v>
      </c>
      <c r="K298" s="6">
        <v>0.05</v>
      </c>
      <c r="L298" s="2" t="s">
        <v>47</v>
      </c>
      <c r="M298" s="2" t="s">
        <v>23</v>
      </c>
      <c r="N298" s="5">
        <f t="shared" si="12"/>
        <v>24200</v>
      </c>
      <c r="O298" s="5">
        <f t="shared" si="13"/>
        <v>1210</v>
      </c>
      <c r="P298" s="5">
        <f t="shared" si="14"/>
        <v>22990</v>
      </c>
    </row>
    <row r="299" spans="1:16" x14ac:dyDescent="0.25">
      <c r="A299" s="2" t="s">
        <v>413</v>
      </c>
      <c r="B299" s="3">
        <v>45850</v>
      </c>
      <c r="C299" s="2" t="s">
        <v>107</v>
      </c>
      <c r="D299" s="2" t="s">
        <v>33</v>
      </c>
      <c r="E299" s="4">
        <v>30</v>
      </c>
      <c r="F299" s="2" t="s">
        <v>34</v>
      </c>
      <c r="G299" s="2" t="s">
        <v>27</v>
      </c>
      <c r="H299" s="2" t="s">
        <v>81</v>
      </c>
      <c r="I299" s="4">
        <v>5</v>
      </c>
      <c r="J299" s="5">
        <v>90800</v>
      </c>
      <c r="K299" s="6">
        <v>0.02</v>
      </c>
      <c r="L299" s="2" t="s">
        <v>29</v>
      </c>
      <c r="M299" s="2" t="s">
        <v>37</v>
      </c>
      <c r="N299" s="5">
        <f t="shared" si="12"/>
        <v>454000</v>
      </c>
      <c r="O299" s="5">
        <f t="shared" si="13"/>
        <v>9080</v>
      </c>
      <c r="P299" s="5">
        <f t="shared" si="14"/>
        <v>444920</v>
      </c>
    </row>
    <row r="300" spans="1:16" x14ac:dyDescent="0.25">
      <c r="A300" s="2" t="s">
        <v>414</v>
      </c>
      <c r="B300" s="3">
        <v>45978</v>
      </c>
      <c r="C300" s="2" t="s">
        <v>122</v>
      </c>
      <c r="D300" s="2" t="s">
        <v>33</v>
      </c>
      <c r="E300" s="4">
        <v>41</v>
      </c>
      <c r="F300" s="2" t="s">
        <v>34</v>
      </c>
      <c r="G300" s="2" t="s">
        <v>35</v>
      </c>
      <c r="H300" s="2" t="s">
        <v>36</v>
      </c>
      <c r="I300" s="4">
        <v>7</v>
      </c>
      <c r="J300" s="5">
        <v>3100</v>
      </c>
      <c r="K300" s="6">
        <v>0.1</v>
      </c>
      <c r="L300" s="2" t="s">
        <v>29</v>
      </c>
      <c r="M300" s="2" t="s">
        <v>60</v>
      </c>
      <c r="N300" s="5">
        <f t="shared" si="12"/>
        <v>21700</v>
      </c>
      <c r="O300" s="5">
        <f t="shared" si="13"/>
        <v>2170</v>
      </c>
      <c r="P300" s="5">
        <f t="shared" si="14"/>
        <v>19530</v>
      </c>
    </row>
    <row r="301" spans="1:16" x14ac:dyDescent="0.25">
      <c r="A301" s="2" t="s">
        <v>415</v>
      </c>
      <c r="B301" s="3">
        <v>46069</v>
      </c>
      <c r="C301" s="2" t="s">
        <v>58</v>
      </c>
      <c r="D301" s="2" t="s">
        <v>18</v>
      </c>
      <c r="E301" s="4">
        <v>23</v>
      </c>
      <c r="F301" s="2" t="s">
        <v>34</v>
      </c>
      <c r="G301" s="2" t="s">
        <v>45</v>
      </c>
      <c r="H301" s="2" t="s">
        <v>46</v>
      </c>
      <c r="I301" s="4">
        <v>8</v>
      </c>
      <c r="J301" s="5">
        <v>173000</v>
      </c>
      <c r="K301" s="6">
        <v>0.02</v>
      </c>
      <c r="L301" s="2" t="s">
        <v>22</v>
      </c>
      <c r="M301" s="2" t="s">
        <v>30</v>
      </c>
      <c r="N301" s="5">
        <f t="shared" si="12"/>
        <v>1384000</v>
      </c>
      <c r="O301" s="5">
        <f t="shared" si="13"/>
        <v>27680</v>
      </c>
      <c r="P301" s="5">
        <f t="shared" si="14"/>
        <v>1356320</v>
      </c>
    </row>
    <row r="302" spans="1:16" x14ac:dyDescent="0.25">
      <c r="A302" s="2" t="s">
        <v>416</v>
      </c>
      <c r="B302" s="3">
        <v>45965</v>
      </c>
      <c r="C302" s="2" t="s">
        <v>39</v>
      </c>
      <c r="D302" s="2" t="s">
        <v>33</v>
      </c>
      <c r="E302" s="4">
        <v>61</v>
      </c>
      <c r="F302" s="2" t="s">
        <v>100</v>
      </c>
      <c r="G302" s="2" t="s">
        <v>45</v>
      </c>
      <c r="H302" s="2" t="s">
        <v>46</v>
      </c>
      <c r="I302" s="4">
        <v>2</v>
      </c>
      <c r="J302" s="5">
        <v>190000</v>
      </c>
      <c r="K302" s="6">
        <v>0.15</v>
      </c>
      <c r="L302" s="2" t="s">
        <v>29</v>
      </c>
      <c r="M302" s="2" t="s">
        <v>94</v>
      </c>
      <c r="N302" s="5">
        <f t="shared" si="12"/>
        <v>380000</v>
      </c>
      <c r="O302" s="5">
        <f t="shared" si="13"/>
        <v>57000</v>
      </c>
      <c r="P302" s="5">
        <f t="shared" si="14"/>
        <v>323000</v>
      </c>
    </row>
    <row r="303" spans="1:16" x14ac:dyDescent="0.25">
      <c r="A303" s="2" t="s">
        <v>417</v>
      </c>
      <c r="B303" s="3">
        <v>46094</v>
      </c>
      <c r="C303" s="2" t="s">
        <v>272</v>
      </c>
      <c r="D303" s="2" t="s">
        <v>18</v>
      </c>
      <c r="E303" s="4">
        <v>32</v>
      </c>
      <c r="F303" s="2" t="s">
        <v>100</v>
      </c>
      <c r="G303" s="2" t="s">
        <v>45</v>
      </c>
      <c r="H303" s="2" t="s">
        <v>46</v>
      </c>
      <c r="I303" s="4">
        <v>6</v>
      </c>
      <c r="J303" s="5">
        <v>158500</v>
      </c>
      <c r="K303" s="6">
        <v>0.12</v>
      </c>
      <c r="L303" s="2" t="s">
        <v>47</v>
      </c>
      <c r="M303" s="2" t="s">
        <v>94</v>
      </c>
      <c r="N303" s="5">
        <f t="shared" si="12"/>
        <v>951000</v>
      </c>
      <c r="O303" s="5">
        <f t="shared" si="13"/>
        <v>114120</v>
      </c>
      <c r="P303" s="5">
        <f t="shared" si="14"/>
        <v>836880</v>
      </c>
    </row>
    <row r="304" spans="1:16" x14ac:dyDescent="0.25">
      <c r="A304" s="2" t="s">
        <v>418</v>
      </c>
      <c r="B304" s="3">
        <v>46045</v>
      </c>
      <c r="C304" s="2" t="s">
        <v>145</v>
      </c>
      <c r="D304" s="2" t="s">
        <v>33</v>
      </c>
      <c r="E304" s="4">
        <v>26</v>
      </c>
      <c r="F304" s="2" t="s">
        <v>34</v>
      </c>
      <c r="G304" s="2" t="s">
        <v>35</v>
      </c>
      <c r="H304" s="2" t="s">
        <v>36</v>
      </c>
      <c r="I304" s="4">
        <v>9</v>
      </c>
      <c r="J304" s="5">
        <v>3100</v>
      </c>
      <c r="K304" s="6">
        <v>0</v>
      </c>
      <c r="L304" s="2" t="s">
        <v>29</v>
      </c>
      <c r="M304" s="2" t="s">
        <v>94</v>
      </c>
      <c r="N304" s="5">
        <f t="shared" si="12"/>
        <v>27900</v>
      </c>
      <c r="O304" s="5">
        <f t="shared" si="13"/>
        <v>0</v>
      </c>
      <c r="P304" s="5">
        <f t="shared" si="14"/>
        <v>27900</v>
      </c>
    </row>
    <row r="305" spans="1:16" x14ac:dyDescent="0.25">
      <c r="A305" s="2" t="s">
        <v>419</v>
      </c>
      <c r="B305" s="3">
        <v>46075</v>
      </c>
      <c r="C305" s="2" t="s">
        <v>85</v>
      </c>
      <c r="D305" s="2" t="s">
        <v>18</v>
      </c>
      <c r="E305" s="4">
        <v>64</v>
      </c>
      <c r="F305" s="2" t="s">
        <v>26</v>
      </c>
      <c r="G305" s="2" t="s">
        <v>35</v>
      </c>
      <c r="H305" s="2" t="s">
        <v>36</v>
      </c>
      <c r="I305" s="4">
        <v>7</v>
      </c>
      <c r="J305" s="5">
        <v>4900</v>
      </c>
      <c r="K305" s="6">
        <v>0.18</v>
      </c>
      <c r="L305" s="2" t="s">
        <v>22</v>
      </c>
      <c r="M305" s="2" t="s">
        <v>48</v>
      </c>
      <c r="N305" s="5">
        <f t="shared" si="12"/>
        <v>34300</v>
      </c>
      <c r="O305" s="5">
        <f t="shared" si="13"/>
        <v>6174</v>
      </c>
      <c r="P305" s="5">
        <f t="shared" si="14"/>
        <v>28126</v>
      </c>
    </row>
    <row r="306" spans="1:16" x14ac:dyDescent="0.25">
      <c r="A306" s="2" t="s">
        <v>420</v>
      </c>
      <c r="B306" s="3">
        <v>45901</v>
      </c>
      <c r="C306" s="2" t="s">
        <v>161</v>
      </c>
      <c r="D306" s="2" t="s">
        <v>18</v>
      </c>
      <c r="E306" s="4">
        <v>25</v>
      </c>
      <c r="F306" s="2" t="s">
        <v>71</v>
      </c>
      <c r="G306" s="2" t="s">
        <v>35</v>
      </c>
      <c r="H306" s="2" t="s">
        <v>55</v>
      </c>
      <c r="I306" s="4">
        <v>7</v>
      </c>
      <c r="J306" s="5">
        <v>4900</v>
      </c>
      <c r="K306" s="6">
        <v>0.12</v>
      </c>
      <c r="L306" s="2" t="s">
        <v>22</v>
      </c>
      <c r="M306" s="2" t="s">
        <v>60</v>
      </c>
      <c r="N306" s="5">
        <f t="shared" si="12"/>
        <v>34300</v>
      </c>
      <c r="O306" s="5">
        <f t="shared" si="13"/>
        <v>4116</v>
      </c>
      <c r="P306" s="5">
        <f t="shared" si="14"/>
        <v>30184</v>
      </c>
    </row>
    <row r="307" spans="1:16" x14ac:dyDescent="0.25">
      <c r="A307" s="2" t="s">
        <v>421</v>
      </c>
      <c r="B307" s="3">
        <v>45991</v>
      </c>
      <c r="C307" s="2" t="s">
        <v>58</v>
      </c>
      <c r="D307" s="2" t="s">
        <v>18</v>
      </c>
      <c r="E307" s="4">
        <v>23</v>
      </c>
      <c r="F307" s="2" t="s">
        <v>26</v>
      </c>
      <c r="G307" s="2" t="s">
        <v>65</v>
      </c>
      <c r="H307" s="2" t="s">
        <v>172</v>
      </c>
      <c r="I307" s="4">
        <v>1</v>
      </c>
      <c r="J307" s="5">
        <v>6200</v>
      </c>
      <c r="K307" s="6">
        <v>0.1</v>
      </c>
      <c r="L307" s="2" t="s">
        <v>22</v>
      </c>
      <c r="M307" s="2" t="s">
        <v>42</v>
      </c>
      <c r="N307" s="5">
        <f t="shared" si="12"/>
        <v>6200</v>
      </c>
      <c r="O307" s="5">
        <f t="shared" si="13"/>
        <v>620</v>
      </c>
      <c r="P307" s="5">
        <f t="shared" si="14"/>
        <v>5580</v>
      </c>
    </row>
    <row r="308" spans="1:16" x14ac:dyDescent="0.25">
      <c r="A308" s="2" t="s">
        <v>422</v>
      </c>
      <c r="B308" s="3">
        <v>46160</v>
      </c>
      <c r="C308" s="2" t="s">
        <v>218</v>
      </c>
      <c r="D308" s="2" t="s">
        <v>33</v>
      </c>
      <c r="E308" s="4">
        <v>30</v>
      </c>
      <c r="F308" s="2" t="s">
        <v>34</v>
      </c>
      <c r="G308" s="2" t="s">
        <v>51</v>
      </c>
      <c r="H308" s="2" t="s">
        <v>92</v>
      </c>
      <c r="I308" s="4">
        <v>1</v>
      </c>
      <c r="J308" s="5">
        <v>25600</v>
      </c>
      <c r="K308" s="6">
        <v>7.0000000000000007E-2</v>
      </c>
      <c r="L308" s="2" t="s">
        <v>47</v>
      </c>
      <c r="M308" s="2" t="s">
        <v>112</v>
      </c>
      <c r="N308" s="5">
        <f t="shared" si="12"/>
        <v>25600</v>
      </c>
      <c r="O308" s="5">
        <f t="shared" si="13"/>
        <v>1792.0000000000002</v>
      </c>
      <c r="P308" s="5">
        <f t="shared" si="14"/>
        <v>23808</v>
      </c>
    </row>
    <row r="309" spans="1:16" x14ac:dyDescent="0.25">
      <c r="A309" s="2" t="s">
        <v>423</v>
      </c>
      <c r="B309" s="3">
        <v>45907</v>
      </c>
      <c r="C309" s="2" t="s">
        <v>50</v>
      </c>
      <c r="D309" s="2" t="s">
        <v>33</v>
      </c>
      <c r="E309" s="4">
        <v>49</v>
      </c>
      <c r="F309" s="2" t="s">
        <v>34</v>
      </c>
      <c r="G309" s="2" t="s">
        <v>65</v>
      </c>
      <c r="H309" s="2" t="s">
        <v>66</v>
      </c>
      <c r="I309" s="4">
        <v>1</v>
      </c>
      <c r="J309" s="5">
        <v>4700</v>
      </c>
      <c r="K309" s="6">
        <v>0.12</v>
      </c>
      <c r="L309" s="2" t="s">
        <v>47</v>
      </c>
      <c r="M309" s="2" t="s">
        <v>94</v>
      </c>
      <c r="N309" s="5">
        <f t="shared" si="12"/>
        <v>4700</v>
      </c>
      <c r="O309" s="5">
        <f t="shared" si="13"/>
        <v>564</v>
      </c>
      <c r="P309" s="5">
        <f t="shared" si="14"/>
        <v>4136</v>
      </c>
    </row>
    <row r="310" spans="1:16" x14ac:dyDescent="0.25">
      <c r="A310" s="2" t="s">
        <v>424</v>
      </c>
      <c r="B310" s="3">
        <v>46048</v>
      </c>
      <c r="C310" s="2" t="s">
        <v>118</v>
      </c>
      <c r="D310" s="2" t="s">
        <v>33</v>
      </c>
      <c r="E310" s="4">
        <v>44</v>
      </c>
      <c r="F310" s="2" t="s">
        <v>19</v>
      </c>
      <c r="G310" s="2" t="s">
        <v>65</v>
      </c>
      <c r="H310" s="2" t="s">
        <v>90</v>
      </c>
      <c r="I310" s="4">
        <v>2</v>
      </c>
      <c r="J310" s="5">
        <v>23400</v>
      </c>
      <c r="K310" s="6">
        <v>0</v>
      </c>
      <c r="L310" s="2" t="s">
        <v>29</v>
      </c>
      <c r="M310" s="2" t="s">
        <v>48</v>
      </c>
      <c r="N310" s="5">
        <f t="shared" si="12"/>
        <v>46800</v>
      </c>
      <c r="O310" s="5">
        <f t="shared" si="13"/>
        <v>0</v>
      </c>
      <c r="P310" s="5">
        <f t="shared" si="14"/>
        <v>46800</v>
      </c>
    </row>
    <row r="311" spans="1:16" x14ac:dyDescent="0.25">
      <c r="A311" s="2" t="s">
        <v>425</v>
      </c>
      <c r="B311" s="3">
        <v>45857</v>
      </c>
      <c r="C311" s="2" t="s">
        <v>110</v>
      </c>
      <c r="D311" s="2" t="s">
        <v>18</v>
      </c>
      <c r="E311" s="4">
        <v>31</v>
      </c>
      <c r="F311" s="2" t="s">
        <v>40</v>
      </c>
      <c r="G311" s="2" t="s">
        <v>45</v>
      </c>
      <c r="H311" s="2" t="s">
        <v>59</v>
      </c>
      <c r="I311" s="4">
        <v>5</v>
      </c>
      <c r="J311" s="5">
        <v>16200</v>
      </c>
      <c r="K311" s="6">
        <v>0.2</v>
      </c>
      <c r="L311" s="2" t="s">
        <v>47</v>
      </c>
      <c r="M311" s="2" t="s">
        <v>112</v>
      </c>
      <c r="N311" s="5">
        <f t="shared" si="12"/>
        <v>81000</v>
      </c>
      <c r="O311" s="5">
        <f t="shared" si="13"/>
        <v>16200</v>
      </c>
      <c r="P311" s="5">
        <f t="shared" si="14"/>
        <v>64800</v>
      </c>
    </row>
    <row r="312" spans="1:16" x14ac:dyDescent="0.25">
      <c r="A312" s="2" t="s">
        <v>426</v>
      </c>
      <c r="B312" s="3">
        <v>46209</v>
      </c>
      <c r="C312" s="2" t="s">
        <v>116</v>
      </c>
      <c r="D312" s="2" t="s">
        <v>18</v>
      </c>
      <c r="E312" s="4">
        <v>23</v>
      </c>
      <c r="F312" s="2" t="s">
        <v>34</v>
      </c>
      <c r="G312" s="2" t="s">
        <v>65</v>
      </c>
      <c r="H312" s="2" t="s">
        <v>90</v>
      </c>
      <c r="I312" s="4">
        <v>2</v>
      </c>
      <c r="J312" s="5">
        <v>17100</v>
      </c>
      <c r="K312" s="6">
        <v>0.1</v>
      </c>
      <c r="L312" s="2" t="s">
        <v>22</v>
      </c>
      <c r="M312" s="2" t="s">
        <v>42</v>
      </c>
      <c r="N312" s="5">
        <f t="shared" si="12"/>
        <v>34200</v>
      </c>
      <c r="O312" s="5">
        <f t="shared" si="13"/>
        <v>3420</v>
      </c>
      <c r="P312" s="5">
        <f t="shared" si="14"/>
        <v>30780</v>
      </c>
    </row>
    <row r="313" spans="1:16" x14ac:dyDescent="0.25">
      <c r="A313" s="2" t="s">
        <v>427</v>
      </c>
      <c r="B313" s="3">
        <v>45954</v>
      </c>
      <c r="C313" s="2" t="s">
        <v>89</v>
      </c>
      <c r="D313" s="2" t="s">
        <v>33</v>
      </c>
      <c r="E313" s="4">
        <v>52</v>
      </c>
      <c r="F313" s="2" t="s">
        <v>19</v>
      </c>
      <c r="G313" s="2" t="s">
        <v>51</v>
      </c>
      <c r="H313" s="2" t="s">
        <v>111</v>
      </c>
      <c r="I313" s="4">
        <v>7</v>
      </c>
      <c r="J313" s="5">
        <v>331300</v>
      </c>
      <c r="K313" s="6">
        <v>7.0000000000000007E-2</v>
      </c>
      <c r="L313" s="2" t="s">
        <v>22</v>
      </c>
      <c r="M313" s="2" t="s">
        <v>60</v>
      </c>
      <c r="N313" s="5">
        <f t="shared" si="12"/>
        <v>2319100</v>
      </c>
      <c r="O313" s="5">
        <f t="shared" si="13"/>
        <v>162337.00000000003</v>
      </c>
      <c r="P313" s="5">
        <f t="shared" si="14"/>
        <v>2156763</v>
      </c>
    </row>
    <row r="314" spans="1:16" x14ac:dyDescent="0.25">
      <c r="A314" s="2" t="s">
        <v>428</v>
      </c>
      <c r="B314" s="3">
        <v>45894</v>
      </c>
      <c r="C314" s="2" t="s">
        <v>107</v>
      </c>
      <c r="D314" s="2" t="s">
        <v>33</v>
      </c>
      <c r="E314" s="4">
        <v>25</v>
      </c>
      <c r="F314" s="2" t="s">
        <v>100</v>
      </c>
      <c r="G314" s="2" t="s">
        <v>65</v>
      </c>
      <c r="H314" s="2" t="s">
        <v>66</v>
      </c>
      <c r="I314" s="4">
        <v>3</v>
      </c>
      <c r="J314" s="5">
        <v>3800</v>
      </c>
      <c r="K314" s="6">
        <v>0.02</v>
      </c>
      <c r="L314" s="2" t="s">
        <v>22</v>
      </c>
      <c r="M314" s="2" t="s">
        <v>94</v>
      </c>
      <c r="N314" s="5">
        <f t="shared" si="12"/>
        <v>11400</v>
      </c>
      <c r="O314" s="5">
        <f t="shared" si="13"/>
        <v>228</v>
      </c>
      <c r="P314" s="5">
        <f t="shared" si="14"/>
        <v>11172</v>
      </c>
    </row>
    <row r="315" spans="1:16" x14ac:dyDescent="0.25">
      <c r="A315" s="2" t="s">
        <v>429</v>
      </c>
      <c r="B315" s="3">
        <v>46209</v>
      </c>
      <c r="C315" s="2" t="s">
        <v>83</v>
      </c>
      <c r="D315" s="2" t="s">
        <v>33</v>
      </c>
      <c r="E315" s="4">
        <v>28</v>
      </c>
      <c r="F315" s="2" t="s">
        <v>100</v>
      </c>
      <c r="G315" s="2" t="s">
        <v>20</v>
      </c>
      <c r="H315" s="2" t="s">
        <v>86</v>
      </c>
      <c r="I315" s="4">
        <v>6</v>
      </c>
      <c r="J315" s="5">
        <v>9400</v>
      </c>
      <c r="K315" s="6">
        <v>0.05</v>
      </c>
      <c r="L315" s="2" t="s">
        <v>29</v>
      </c>
      <c r="M315" s="2" t="s">
        <v>68</v>
      </c>
      <c r="N315" s="5">
        <f t="shared" si="12"/>
        <v>56400</v>
      </c>
      <c r="O315" s="5">
        <f t="shared" si="13"/>
        <v>2820</v>
      </c>
      <c r="P315" s="5">
        <f t="shared" si="14"/>
        <v>53580</v>
      </c>
    </row>
    <row r="316" spans="1:16" x14ac:dyDescent="0.25">
      <c r="A316" s="2" t="s">
        <v>430</v>
      </c>
      <c r="B316" s="3">
        <v>45910</v>
      </c>
      <c r="C316" s="2" t="s">
        <v>145</v>
      </c>
      <c r="D316" s="2" t="s">
        <v>33</v>
      </c>
      <c r="E316" s="4">
        <v>19</v>
      </c>
      <c r="F316" s="2" t="s">
        <v>19</v>
      </c>
      <c r="G316" s="2" t="s">
        <v>51</v>
      </c>
      <c r="H316" s="2" t="s">
        <v>92</v>
      </c>
      <c r="I316" s="4">
        <v>2</v>
      </c>
      <c r="J316" s="5">
        <v>23600</v>
      </c>
      <c r="K316" s="6">
        <v>0.1</v>
      </c>
      <c r="L316" s="2" t="s">
        <v>29</v>
      </c>
      <c r="M316" s="2" t="s">
        <v>30</v>
      </c>
      <c r="N316" s="5">
        <f t="shared" si="12"/>
        <v>47200</v>
      </c>
      <c r="O316" s="5">
        <f t="shared" si="13"/>
        <v>4720</v>
      </c>
      <c r="P316" s="5">
        <f t="shared" si="14"/>
        <v>42480</v>
      </c>
    </row>
    <row r="317" spans="1:16" x14ac:dyDescent="0.25">
      <c r="A317" s="2" t="s">
        <v>431</v>
      </c>
      <c r="B317" s="3">
        <v>46171</v>
      </c>
      <c r="C317" s="2" t="s">
        <v>272</v>
      </c>
      <c r="D317" s="2" t="s">
        <v>18</v>
      </c>
      <c r="E317" s="4">
        <v>49</v>
      </c>
      <c r="F317" s="2" t="s">
        <v>100</v>
      </c>
      <c r="G317" s="2" t="s">
        <v>65</v>
      </c>
      <c r="H317" s="2" t="s">
        <v>172</v>
      </c>
      <c r="I317" s="4">
        <v>8</v>
      </c>
      <c r="J317" s="5">
        <v>3200</v>
      </c>
      <c r="K317" s="6">
        <v>0.05</v>
      </c>
      <c r="L317" s="2" t="s">
        <v>47</v>
      </c>
      <c r="M317" s="2" t="s">
        <v>94</v>
      </c>
      <c r="N317" s="5">
        <f t="shared" si="12"/>
        <v>25600</v>
      </c>
      <c r="O317" s="5">
        <f t="shared" si="13"/>
        <v>1280</v>
      </c>
      <c r="P317" s="5">
        <f t="shared" si="14"/>
        <v>24320</v>
      </c>
    </row>
    <row r="318" spans="1:16" x14ac:dyDescent="0.25">
      <c r="A318" s="2" t="s">
        <v>432</v>
      </c>
      <c r="B318" s="3">
        <v>45980</v>
      </c>
      <c r="C318" s="2" t="s">
        <v>145</v>
      </c>
      <c r="D318" s="2" t="s">
        <v>33</v>
      </c>
      <c r="E318" s="4">
        <v>24</v>
      </c>
      <c r="F318" s="2" t="s">
        <v>71</v>
      </c>
      <c r="G318" s="2" t="s">
        <v>35</v>
      </c>
      <c r="H318" s="2" t="s">
        <v>125</v>
      </c>
      <c r="I318" s="4">
        <v>9</v>
      </c>
      <c r="J318" s="5">
        <v>1700</v>
      </c>
      <c r="K318" s="6">
        <v>0</v>
      </c>
      <c r="L318" s="2" t="s">
        <v>22</v>
      </c>
      <c r="M318" s="2" t="s">
        <v>56</v>
      </c>
      <c r="N318" s="5">
        <f t="shared" si="12"/>
        <v>15300</v>
      </c>
      <c r="O318" s="5">
        <f t="shared" si="13"/>
        <v>0</v>
      </c>
      <c r="P318" s="5">
        <f t="shared" si="14"/>
        <v>15300</v>
      </c>
    </row>
    <row r="319" spans="1:16" x14ac:dyDescent="0.25">
      <c r="A319" s="2" t="s">
        <v>433</v>
      </c>
      <c r="B319" s="3">
        <v>45975</v>
      </c>
      <c r="C319" s="2" t="s">
        <v>96</v>
      </c>
      <c r="D319" s="2" t="s">
        <v>18</v>
      </c>
      <c r="E319" s="4">
        <v>48</v>
      </c>
      <c r="F319" s="2" t="s">
        <v>19</v>
      </c>
      <c r="G319" s="2" t="s">
        <v>51</v>
      </c>
      <c r="H319" s="2" t="s">
        <v>52</v>
      </c>
      <c r="I319" s="4">
        <v>1</v>
      </c>
      <c r="J319" s="5">
        <v>136900</v>
      </c>
      <c r="K319" s="6">
        <v>0.2</v>
      </c>
      <c r="L319" s="2" t="s">
        <v>29</v>
      </c>
      <c r="M319" s="2" t="s">
        <v>112</v>
      </c>
      <c r="N319" s="5">
        <f t="shared" si="12"/>
        <v>136900</v>
      </c>
      <c r="O319" s="5">
        <f t="shared" si="13"/>
        <v>27380</v>
      </c>
      <c r="P319" s="5">
        <f t="shared" si="14"/>
        <v>109520</v>
      </c>
    </row>
    <row r="320" spans="1:16" x14ac:dyDescent="0.25">
      <c r="A320" s="2" t="s">
        <v>434</v>
      </c>
      <c r="B320" s="3">
        <v>45964</v>
      </c>
      <c r="C320" s="2" t="s">
        <v>237</v>
      </c>
      <c r="D320" s="2" t="s">
        <v>18</v>
      </c>
      <c r="E320" s="4">
        <v>33</v>
      </c>
      <c r="F320" s="2" t="s">
        <v>100</v>
      </c>
      <c r="G320" s="2" t="s">
        <v>35</v>
      </c>
      <c r="H320" s="2" t="s">
        <v>74</v>
      </c>
      <c r="I320" s="4">
        <v>2</v>
      </c>
      <c r="J320" s="5">
        <v>3100</v>
      </c>
      <c r="K320" s="6">
        <v>0.12</v>
      </c>
      <c r="L320" s="2" t="s">
        <v>22</v>
      </c>
      <c r="M320" s="2" t="s">
        <v>42</v>
      </c>
      <c r="N320" s="5">
        <f t="shared" si="12"/>
        <v>6200</v>
      </c>
      <c r="O320" s="5">
        <f t="shared" si="13"/>
        <v>744</v>
      </c>
      <c r="P320" s="5">
        <f t="shared" si="14"/>
        <v>5456</v>
      </c>
    </row>
    <row r="321" spans="1:16" x14ac:dyDescent="0.25">
      <c r="A321" s="2" t="s">
        <v>435</v>
      </c>
      <c r="B321" s="3">
        <v>46194</v>
      </c>
      <c r="C321" s="2" t="s">
        <v>76</v>
      </c>
      <c r="D321" s="2" t="s">
        <v>33</v>
      </c>
      <c r="E321" s="4">
        <v>29</v>
      </c>
      <c r="F321" s="2" t="s">
        <v>26</v>
      </c>
      <c r="G321" s="2" t="s">
        <v>65</v>
      </c>
      <c r="H321" s="2" t="s">
        <v>66</v>
      </c>
      <c r="I321" s="4">
        <v>2</v>
      </c>
      <c r="J321" s="5">
        <v>4100</v>
      </c>
      <c r="K321" s="6">
        <v>0.18</v>
      </c>
      <c r="L321" s="2" t="s">
        <v>47</v>
      </c>
      <c r="M321" s="2" t="s">
        <v>68</v>
      </c>
      <c r="N321" s="5">
        <f t="shared" si="12"/>
        <v>8200</v>
      </c>
      <c r="O321" s="5">
        <f t="shared" si="13"/>
        <v>1476</v>
      </c>
      <c r="P321" s="5">
        <f t="shared" si="14"/>
        <v>6724</v>
      </c>
    </row>
    <row r="322" spans="1:16" x14ac:dyDescent="0.25">
      <c r="A322" s="2" t="s">
        <v>436</v>
      </c>
      <c r="B322" s="3">
        <v>46017</v>
      </c>
      <c r="C322" s="2" t="s">
        <v>122</v>
      </c>
      <c r="D322" s="2" t="s">
        <v>33</v>
      </c>
      <c r="E322" s="4">
        <v>53</v>
      </c>
      <c r="F322" s="2" t="s">
        <v>100</v>
      </c>
      <c r="G322" s="2" t="s">
        <v>45</v>
      </c>
      <c r="H322" s="2" t="s">
        <v>187</v>
      </c>
      <c r="I322" s="4">
        <v>5</v>
      </c>
      <c r="J322" s="5">
        <v>86300</v>
      </c>
      <c r="K322" s="6">
        <v>0.1</v>
      </c>
      <c r="L322" s="2" t="s">
        <v>29</v>
      </c>
      <c r="M322" s="2" t="s">
        <v>30</v>
      </c>
      <c r="N322" s="5">
        <f t="shared" ref="N322:N385" si="15">I322*J322</f>
        <v>431500</v>
      </c>
      <c r="O322" s="5">
        <f t="shared" ref="O322:O385" si="16">N322*K322</f>
        <v>43150</v>
      </c>
      <c r="P322" s="5">
        <f t="shared" ref="P322:P385" si="17">N322-O322</f>
        <v>388350</v>
      </c>
    </row>
    <row r="323" spans="1:16" x14ac:dyDescent="0.25">
      <c r="A323" s="2" t="s">
        <v>437</v>
      </c>
      <c r="B323" s="3">
        <v>45974</v>
      </c>
      <c r="C323" s="2" t="s">
        <v>185</v>
      </c>
      <c r="D323" s="2" t="s">
        <v>33</v>
      </c>
      <c r="E323" s="4">
        <v>41</v>
      </c>
      <c r="F323" s="2" t="s">
        <v>71</v>
      </c>
      <c r="G323" s="2" t="s">
        <v>51</v>
      </c>
      <c r="H323" s="2" t="s">
        <v>52</v>
      </c>
      <c r="I323" s="4">
        <v>9</v>
      </c>
      <c r="J323" s="5">
        <v>282000</v>
      </c>
      <c r="K323" s="6">
        <v>7.0000000000000007E-2</v>
      </c>
      <c r="L323" s="2" t="s">
        <v>22</v>
      </c>
      <c r="M323" s="2" t="s">
        <v>56</v>
      </c>
      <c r="N323" s="5">
        <f t="shared" si="15"/>
        <v>2538000</v>
      </c>
      <c r="O323" s="5">
        <f t="shared" si="16"/>
        <v>177660.00000000003</v>
      </c>
      <c r="P323" s="5">
        <f t="shared" si="17"/>
        <v>2360340</v>
      </c>
    </row>
    <row r="324" spans="1:16" x14ac:dyDescent="0.25">
      <c r="A324" s="2" t="s">
        <v>438</v>
      </c>
      <c r="B324" s="3">
        <v>46059</v>
      </c>
      <c r="C324" s="2" t="s">
        <v>17</v>
      </c>
      <c r="D324" s="2" t="s">
        <v>18</v>
      </c>
      <c r="E324" s="4">
        <v>32</v>
      </c>
      <c r="F324" s="2" t="s">
        <v>71</v>
      </c>
      <c r="G324" s="2" t="s">
        <v>20</v>
      </c>
      <c r="H324" s="2" t="s">
        <v>114</v>
      </c>
      <c r="I324" s="4">
        <v>1</v>
      </c>
      <c r="J324" s="5">
        <v>3200</v>
      </c>
      <c r="K324" s="6">
        <v>0.15</v>
      </c>
      <c r="L324" s="2" t="s">
        <v>29</v>
      </c>
      <c r="M324" s="2" t="s">
        <v>68</v>
      </c>
      <c r="N324" s="5">
        <f t="shared" si="15"/>
        <v>3200</v>
      </c>
      <c r="O324" s="5">
        <f t="shared" si="16"/>
        <v>480</v>
      </c>
      <c r="P324" s="5">
        <f t="shared" si="17"/>
        <v>2720</v>
      </c>
    </row>
    <row r="325" spans="1:16" x14ac:dyDescent="0.25">
      <c r="A325" s="2" t="s">
        <v>439</v>
      </c>
      <c r="B325" s="3">
        <v>45903</v>
      </c>
      <c r="C325" s="2" t="s">
        <v>32</v>
      </c>
      <c r="D325" s="2" t="s">
        <v>33</v>
      </c>
      <c r="E325" s="4">
        <v>51</v>
      </c>
      <c r="F325" s="2" t="s">
        <v>26</v>
      </c>
      <c r="G325" s="2" t="s">
        <v>51</v>
      </c>
      <c r="H325" s="2" t="s">
        <v>120</v>
      </c>
      <c r="I325" s="4">
        <v>3</v>
      </c>
      <c r="J325" s="5">
        <v>27000</v>
      </c>
      <c r="K325" s="6">
        <v>0.1</v>
      </c>
      <c r="L325" s="2" t="s">
        <v>22</v>
      </c>
      <c r="M325" s="2" t="s">
        <v>56</v>
      </c>
      <c r="N325" s="5">
        <f t="shared" si="15"/>
        <v>81000</v>
      </c>
      <c r="O325" s="5">
        <f t="shared" si="16"/>
        <v>8100</v>
      </c>
      <c r="P325" s="5">
        <f t="shared" si="17"/>
        <v>72900</v>
      </c>
    </row>
    <row r="326" spans="1:16" x14ac:dyDescent="0.25">
      <c r="A326" s="2" t="s">
        <v>440</v>
      </c>
      <c r="B326" s="3">
        <v>45968</v>
      </c>
      <c r="C326" s="2" t="s">
        <v>39</v>
      </c>
      <c r="D326" s="2" t="s">
        <v>33</v>
      </c>
      <c r="E326" s="4">
        <v>44</v>
      </c>
      <c r="F326" s="2" t="s">
        <v>34</v>
      </c>
      <c r="G326" s="2" t="s">
        <v>20</v>
      </c>
      <c r="H326" s="2" t="s">
        <v>108</v>
      </c>
      <c r="I326" s="4">
        <v>2</v>
      </c>
      <c r="J326" s="5">
        <v>59500</v>
      </c>
      <c r="K326" s="6">
        <v>0.02</v>
      </c>
      <c r="L326" s="2" t="s">
        <v>29</v>
      </c>
      <c r="M326" s="2" t="s">
        <v>94</v>
      </c>
      <c r="N326" s="5">
        <f t="shared" si="15"/>
        <v>119000</v>
      </c>
      <c r="O326" s="5">
        <f t="shared" si="16"/>
        <v>2380</v>
      </c>
      <c r="P326" s="5">
        <f t="shared" si="17"/>
        <v>116620</v>
      </c>
    </row>
    <row r="327" spans="1:16" x14ac:dyDescent="0.25">
      <c r="A327" s="2" t="s">
        <v>441</v>
      </c>
      <c r="B327" s="3">
        <v>46176</v>
      </c>
      <c r="C327" s="2" t="s">
        <v>116</v>
      </c>
      <c r="D327" s="2" t="s">
        <v>18</v>
      </c>
      <c r="E327" s="4">
        <v>22</v>
      </c>
      <c r="F327" s="2" t="s">
        <v>71</v>
      </c>
      <c r="G327" s="2" t="s">
        <v>65</v>
      </c>
      <c r="H327" s="2" t="s">
        <v>66</v>
      </c>
      <c r="I327" s="4">
        <v>3</v>
      </c>
      <c r="J327" s="5">
        <v>4300</v>
      </c>
      <c r="K327" s="6">
        <v>7.0000000000000007E-2</v>
      </c>
      <c r="L327" s="2" t="s">
        <v>47</v>
      </c>
      <c r="M327" s="2" t="s">
        <v>68</v>
      </c>
      <c r="N327" s="5">
        <f t="shared" si="15"/>
        <v>12900</v>
      </c>
      <c r="O327" s="5">
        <f t="shared" si="16"/>
        <v>903.00000000000011</v>
      </c>
      <c r="P327" s="5">
        <f t="shared" si="17"/>
        <v>11997</v>
      </c>
    </row>
    <row r="328" spans="1:16" x14ac:dyDescent="0.25">
      <c r="A328" s="2" t="s">
        <v>442</v>
      </c>
      <c r="B328" s="3">
        <v>46011</v>
      </c>
      <c r="C328" s="2" t="s">
        <v>116</v>
      </c>
      <c r="D328" s="2" t="s">
        <v>18</v>
      </c>
      <c r="E328" s="4">
        <v>62</v>
      </c>
      <c r="F328" s="2" t="s">
        <v>34</v>
      </c>
      <c r="G328" s="2" t="s">
        <v>20</v>
      </c>
      <c r="H328" s="2" t="s">
        <v>86</v>
      </c>
      <c r="I328" s="4">
        <v>5</v>
      </c>
      <c r="J328" s="5">
        <v>11700</v>
      </c>
      <c r="K328" s="6">
        <v>7.0000000000000007E-2</v>
      </c>
      <c r="L328" s="2" t="s">
        <v>22</v>
      </c>
      <c r="M328" s="2" t="s">
        <v>60</v>
      </c>
      <c r="N328" s="5">
        <f t="shared" si="15"/>
        <v>58500</v>
      </c>
      <c r="O328" s="5">
        <f t="shared" si="16"/>
        <v>4095.0000000000005</v>
      </c>
      <c r="P328" s="5">
        <f t="shared" si="17"/>
        <v>54405</v>
      </c>
    </row>
    <row r="329" spans="1:16" x14ac:dyDescent="0.25">
      <c r="A329" s="2" t="s">
        <v>443</v>
      </c>
      <c r="B329" s="3">
        <v>45919</v>
      </c>
      <c r="C329" s="2" t="s">
        <v>145</v>
      </c>
      <c r="D329" s="2" t="s">
        <v>33</v>
      </c>
      <c r="E329" s="4">
        <v>55</v>
      </c>
      <c r="F329" s="2" t="s">
        <v>40</v>
      </c>
      <c r="G329" s="2" t="s">
        <v>27</v>
      </c>
      <c r="H329" s="2" t="s">
        <v>77</v>
      </c>
      <c r="I329" s="4">
        <v>8</v>
      </c>
      <c r="J329" s="5">
        <v>30400</v>
      </c>
      <c r="K329" s="6">
        <v>0.18</v>
      </c>
      <c r="L329" s="2" t="s">
        <v>47</v>
      </c>
      <c r="M329" s="2" t="s">
        <v>112</v>
      </c>
      <c r="N329" s="5">
        <f t="shared" si="15"/>
        <v>243200</v>
      </c>
      <c r="O329" s="5">
        <f t="shared" si="16"/>
        <v>43776</v>
      </c>
      <c r="P329" s="5">
        <f t="shared" si="17"/>
        <v>199424</v>
      </c>
    </row>
    <row r="330" spans="1:16" x14ac:dyDescent="0.25">
      <c r="A330" s="2" t="s">
        <v>444</v>
      </c>
      <c r="B330" s="3">
        <v>45911</v>
      </c>
      <c r="C330" s="2" t="s">
        <v>62</v>
      </c>
      <c r="D330" s="2" t="s">
        <v>18</v>
      </c>
      <c r="E330" s="4">
        <v>40</v>
      </c>
      <c r="F330" s="2" t="s">
        <v>26</v>
      </c>
      <c r="G330" s="2" t="s">
        <v>51</v>
      </c>
      <c r="H330" s="2" t="s">
        <v>92</v>
      </c>
      <c r="I330" s="4">
        <v>5</v>
      </c>
      <c r="J330" s="5">
        <v>22600</v>
      </c>
      <c r="K330" s="6">
        <v>0.02</v>
      </c>
      <c r="L330" s="2" t="s">
        <v>22</v>
      </c>
      <c r="M330" s="2" t="s">
        <v>94</v>
      </c>
      <c r="N330" s="5">
        <f t="shared" si="15"/>
        <v>113000</v>
      </c>
      <c r="O330" s="5">
        <f t="shared" si="16"/>
        <v>2260</v>
      </c>
      <c r="P330" s="5">
        <f t="shared" si="17"/>
        <v>110740</v>
      </c>
    </row>
    <row r="331" spans="1:16" x14ac:dyDescent="0.25">
      <c r="A331" s="2" t="s">
        <v>445</v>
      </c>
      <c r="B331" s="3">
        <v>46201</v>
      </c>
      <c r="C331" s="2" t="s">
        <v>157</v>
      </c>
      <c r="D331" s="2" t="s">
        <v>18</v>
      </c>
      <c r="E331" s="4">
        <v>63</v>
      </c>
      <c r="F331" s="2" t="s">
        <v>34</v>
      </c>
      <c r="G331" s="2" t="s">
        <v>65</v>
      </c>
      <c r="H331" s="2" t="s">
        <v>66</v>
      </c>
      <c r="I331" s="4">
        <v>6</v>
      </c>
      <c r="J331" s="5">
        <v>3400</v>
      </c>
      <c r="K331" s="6">
        <v>0.05</v>
      </c>
      <c r="L331" s="2" t="s">
        <v>22</v>
      </c>
      <c r="M331" s="2" t="s">
        <v>60</v>
      </c>
      <c r="N331" s="5">
        <f t="shared" si="15"/>
        <v>20400</v>
      </c>
      <c r="O331" s="5">
        <f t="shared" si="16"/>
        <v>1020</v>
      </c>
      <c r="P331" s="5">
        <f t="shared" si="17"/>
        <v>19380</v>
      </c>
    </row>
    <row r="332" spans="1:16" x14ac:dyDescent="0.25">
      <c r="A332" s="2" t="s">
        <v>446</v>
      </c>
      <c r="B332" s="3">
        <v>46032</v>
      </c>
      <c r="C332" s="2" t="s">
        <v>116</v>
      </c>
      <c r="D332" s="2" t="s">
        <v>18</v>
      </c>
      <c r="E332" s="4">
        <v>50</v>
      </c>
      <c r="F332" s="2" t="s">
        <v>40</v>
      </c>
      <c r="G332" s="2" t="s">
        <v>35</v>
      </c>
      <c r="H332" s="2" t="s">
        <v>74</v>
      </c>
      <c r="I332" s="4">
        <v>3</v>
      </c>
      <c r="J332" s="5">
        <v>3100</v>
      </c>
      <c r="K332" s="6">
        <v>0</v>
      </c>
      <c r="L332" s="2" t="s">
        <v>47</v>
      </c>
      <c r="M332" s="2" t="s">
        <v>23</v>
      </c>
      <c r="N332" s="5">
        <f t="shared" si="15"/>
        <v>9300</v>
      </c>
      <c r="O332" s="5">
        <f t="shared" si="16"/>
        <v>0</v>
      </c>
      <c r="P332" s="5">
        <f t="shared" si="17"/>
        <v>9300</v>
      </c>
    </row>
    <row r="333" spans="1:16" x14ac:dyDescent="0.25">
      <c r="A333" s="2" t="s">
        <v>447</v>
      </c>
      <c r="B333" s="3">
        <v>46134</v>
      </c>
      <c r="C333" s="2" t="s">
        <v>73</v>
      </c>
      <c r="D333" s="2" t="s">
        <v>18</v>
      </c>
      <c r="E333" s="4">
        <v>53</v>
      </c>
      <c r="F333" s="2" t="s">
        <v>26</v>
      </c>
      <c r="G333" s="2" t="s">
        <v>45</v>
      </c>
      <c r="H333" s="2" t="s">
        <v>59</v>
      </c>
      <c r="I333" s="4">
        <v>3</v>
      </c>
      <c r="J333" s="5">
        <v>12800</v>
      </c>
      <c r="K333" s="6">
        <v>0.02</v>
      </c>
      <c r="L333" s="2" t="s">
        <v>22</v>
      </c>
      <c r="M333" s="2" t="s">
        <v>56</v>
      </c>
      <c r="N333" s="5">
        <f t="shared" si="15"/>
        <v>38400</v>
      </c>
      <c r="O333" s="5">
        <f t="shared" si="16"/>
        <v>768</v>
      </c>
      <c r="P333" s="5">
        <f t="shared" si="17"/>
        <v>37632</v>
      </c>
    </row>
    <row r="334" spans="1:16" x14ac:dyDescent="0.25">
      <c r="A334" s="2" t="s">
        <v>448</v>
      </c>
      <c r="B334" s="3">
        <v>45963</v>
      </c>
      <c r="C334" s="2" t="s">
        <v>161</v>
      </c>
      <c r="D334" s="2" t="s">
        <v>18</v>
      </c>
      <c r="E334" s="4">
        <v>30</v>
      </c>
      <c r="F334" s="2" t="s">
        <v>100</v>
      </c>
      <c r="G334" s="2" t="s">
        <v>20</v>
      </c>
      <c r="H334" s="2" t="s">
        <v>114</v>
      </c>
      <c r="I334" s="4">
        <v>10</v>
      </c>
      <c r="J334" s="5">
        <v>3700</v>
      </c>
      <c r="K334" s="6">
        <v>0.1</v>
      </c>
      <c r="L334" s="2" t="s">
        <v>22</v>
      </c>
      <c r="M334" s="2" t="s">
        <v>56</v>
      </c>
      <c r="N334" s="5">
        <f t="shared" si="15"/>
        <v>37000</v>
      </c>
      <c r="O334" s="5">
        <f t="shared" si="16"/>
        <v>3700</v>
      </c>
      <c r="P334" s="5">
        <f t="shared" si="17"/>
        <v>33300</v>
      </c>
    </row>
    <row r="335" spans="1:16" x14ac:dyDescent="0.25">
      <c r="A335" s="2" t="s">
        <v>449</v>
      </c>
      <c r="B335" s="3">
        <v>45883</v>
      </c>
      <c r="C335" s="2" t="s">
        <v>54</v>
      </c>
      <c r="D335" s="2" t="s">
        <v>33</v>
      </c>
      <c r="E335" s="4">
        <v>59</v>
      </c>
      <c r="F335" s="2" t="s">
        <v>100</v>
      </c>
      <c r="G335" s="2" t="s">
        <v>27</v>
      </c>
      <c r="H335" s="2" t="s">
        <v>77</v>
      </c>
      <c r="I335" s="4">
        <v>6</v>
      </c>
      <c r="J335" s="5">
        <v>54700</v>
      </c>
      <c r="K335" s="6">
        <v>0.02</v>
      </c>
      <c r="L335" s="2" t="s">
        <v>22</v>
      </c>
      <c r="M335" s="2" t="s">
        <v>23</v>
      </c>
      <c r="N335" s="5">
        <f t="shared" si="15"/>
        <v>328200</v>
      </c>
      <c r="O335" s="5">
        <f t="shared" si="16"/>
        <v>6564</v>
      </c>
      <c r="P335" s="5">
        <f t="shared" si="17"/>
        <v>321636</v>
      </c>
    </row>
    <row r="336" spans="1:16" x14ac:dyDescent="0.25">
      <c r="A336" s="2" t="s">
        <v>450</v>
      </c>
      <c r="B336" s="3">
        <v>45875</v>
      </c>
      <c r="C336" s="2" t="s">
        <v>99</v>
      </c>
      <c r="D336" s="2" t="s">
        <v>18</v>
      </c>
      <c r="E336" s="4">
        <v>54</v>
      </c>
      <c r="F336" s="2" t="s">
        <v>100</v>
      </c>
      <c r="G336" s="2" t="s">
        <v>35</v>
      </c>
      <c r="H336" s="2" t="s">
        <v>55</v>
      </c>
      <c r="I336" s="4">
        <v>1</v>
      </c>
      <c r="J336" s="5">
        <v>5500</v>
      </c>
      <c r="K336" s="6">
        <v>0.15</v>
      </c>
      <c r="L336" s="2" t="s">
        <v>29</v>
      </c>
      <c r="M336" s="2" t="s">
        <v>112</v>
      </c>
      <c r="N336" s="5">
        <f t="shared" si="15"/>
        <v>5500</v>
      </c>
      <c r="O336" s="5">
        <f t="shared" si="16"/>
        <v>825</v>
      </c>
      <c r="P336" s="5">
        <f t="shared" si="17"/>
        <v>4675</v>
      </c>
    </row>
    <row r="337" spans="1:16" x14ac:dyDescent="0.25">
      <c r="A337" s="2" t="s">
        <v>451</v>
      </c>
      <c r="B337" s="3">
        <v>45938</v>
      </c>
      <c r="C337" s="2" t="s">
        <v>85</v>
      </c>
      <c r="D337" s="2" t="s">
        <v>18</v>
      </c>
      <c r="E337" s="4">
        <v>31</v>
      </c>
      <c r="F337" s="2" t="s">
        <v>26</v>
      </c>
      <c r="G337" s="2" t="s">
        <v>20</v>
      </c>
      <c r="H337" s="2" t="s">
        <v>86</v>
      </c>
      <c r="I337" s="4">
        <v>3</v>
      </c>
      <c r="J337" s="5">
        <v>11700</v>
      </c>
      <c r="K337" s="6">
        <v>0</v>
      </c>
      <c r="L337" s="2" t="s">
        <v>29</v>
      </c>
      <c r="M337" s="2" t="s">
        <v>30</v>
      </c>
      <c r="N337" s="5">
        <f t="shared" si="15"/>
        <v>35100</v>
      </c>
      <c r="O337" s="5">
        <f t="shared" si="16"/>
        <v>0</v>
      </c>
      <c r="P337" s="5">
        <f t="shared" si="17"/>
        <v>35100</v>
      </c>
    </row>
    <row r="338" spans="1:16" x14ac:dyDescent="0.25">
      <c r="A338" s="2" t="s">
        <v>452</v>
      </c>
      <c r="B338" s="3">
        <v>46165</v>
      </c>
      <c r="C338" s="2" t="s">
        <v>50</v>
      </c>
      <c r="D338" s="2" t="s">
        <v>33</v>
      </c>
      <c r="E338" s="4">
        <v>59</v>
      </c>
      <c r="F338" s="2" t="s">
        <v>19</v>
      </c>
      <c r="G338" s="2" t="s">
        <v>51</v>
      </c>
      <c r="H338" s="2" t="s">
        <v>120</v>
      </c>
      <c r="I338" s="4">
        <v>8</v>
      </c>
      <c r="J338" s="5">
        <v>43000</v>
      </c>
      <c r="K338" s="6">
        <v>0</v>
      </c>
      <c r="L338" s="2" t="s">
        <v>22</v>
      </c>
      <c r="M338" s="2" t="s">
        <v>68</v>
      </c>
      <c r="N338" s="5">
        <f t="shared" si="15"/>
        <v>344000</v>
      </c>
      <c r="O338" s="5">
        <f t="shared" si="16"/>
        <v>0</v>
      </c>
      <c r="P338" s="5">
        <f t="shared" si="17"/>
        <v>344000</v>
      </c>
    </row>
    <row r="339" spans="1:16" x14ac:dyDescent="0.25">
      <c r="A339" s="2" t="s">
        <v>453</v>
      </c>
      <c r="B339" s="3">
        <v>46046</v>
      </c>
      <c r="C339" s="2" t="s">
        <v>161</v>
      </c>
      <c r="D339" s="2" t="s">
        <v>18</v>
      </c>
      <c r="E339" s="4">
        <v>44</v>
      </c>
      <c r="F339" s="2" t="s">
        <v>26</v>
      </c>
      <c r="G339" s="2" t="s">
        <v>35</v>
      </c>
      <c r="H339" s="2" t="s">
        <v>36</v>
      </c>
      <c r="I339" s="4">
        <v>9</v>
      </c>
      <c r="J339" s="5">
        <v>4300</v>
      </c>
      <c r="K339" s="6">
        <v>0</v>
      </c>
      <c r="L339" s="2" t="s">
        <v>47</v>
      </c>
      <c r="M339" s="2" t="s">
        <v>37</v>
      </c>
      <c r="N339" s="5">
        <f t="shared" si="15"/>
        <v>38700</v>
      </c>
      <c r="O339" s="5">
        <f t="shared" si="16"/>
        <v>0</v>
      </c>
      <c r="P339" s="5">
        <f t="shared" si="17"/>
        <v>38700</v>
      </c>
    </row>
    <row r="340" spans="1:16" x14ac:dyDescent="0.25">
      <c r="A340" s="2" t="s">
        <v>454</v>
      </c>
      <c r="B340" s="3">
        <v>46095</v>
      </c>
      <c r="C340" s="2" t="s">
        <v>62</v>
      </c>
      <c r="D340" s="2" t="s">
        <v>18</v>
      </c>
      <c r="E340" s="4">
        <v>49</v>
      </c>
      <c r="F340" s="2" t="s">
        <v>19</v>
      </c>
      <c r="G340" s="2" t="s">
        <v>65</v>
      </c>
      <c r="H340" s="2" t="s">
        <v>172</v>
      </c>
      <c r="I340" s="4">
        <v>5</v>
      </c>
      <c r="J340" s="5">
        <v>4600</v>
      </c>
      <c r="K340" s="6">
        <v>0.05</v>
      </c>
      <c r="L340" s="2" t="s">
        <v>22</v>
      </c>
      <c r="M340" s="2" t="s">
        <v>37</v>
      </c>
      <c r="N340" s="5">
        <f t="shared" si="15"/>
        <v>23000</v>
      </c>
      <c r="O340" s="5">
        <f t="shared" si="16"/>
        <v>1150</v>
      </c>
      <c r="P340" s="5">
        <f t="shared" si="17"/>
        <v>21850</v>
      </c>
    </row>
    <row r="341" spans="1:16" x14ac:dyDescent="0.25">
      <c r="A341" s="2" t="s">
        <v>455</v>
      </c>
      <c r="B341" s="3">
        <v>46155</v>
      </c>
      <c r="C341" s="2" t="s">
        <v>165</v>
      </c>
      <c r="D341" s="2" t="s">
        <v>33</v>
      </c>
      <c r="E341" s="4">
        <v>19</v>
      </c>
      <c r="F341" s="2" t="s">
        <v>19</v>
      </c>
      <c r="G341" s="2" t="s">
        <v>45</v>
      </c>
      <c r="H341" s="2" t="s">
        <v>59</v>
      </c>
      <c r="I341" s="4">
        <v>6</v>
      </c>
      <c r="J341" s="5">
        <v>16300</v>
      </c>
      <c r="K341" s="6">
        <v>7.0000000000000007E-2</v>
      </c>
      <c r="L341" s="2" t="s">
        <v>22</v>
      </c>
      <c r="M341" s="2" t="s">
        <v>48</v>
      </c>
      <c r="N341" s="5">
        <f t="shared" si="15"/>
        <v>97800</v>
      </c>
      <c r="O341" s="5">
        <f t="shared" si="16"/>
        <v>6846.0000000000009</v>
      </c>
      <c r="P341" s="5">
        <f t="shared" si="17"/>
        <v>90954</v>
      </c>
    </row>
    <row r="342" spans="1:16" x14ac:dyDescent="0.25">
      <c r="A342" s="2" t="s">
        <v>456</v>
      </c>
      <c r="B342" s="3">
        <v>45976</v>
      </c>
      <c r="C342" s="2" t="s">
        <v>80</v>
      </c>
      <c r="D342" s="2" t="s">
        <v>18</v>
      </c>
      <c r="E342" s="4">
        <v>33</v>
      </c>
      <c r="F342" s="2" t="s">
        <v>19</v>
      </c>
      <c r="G342" s="2" t="s">
        <v>65</v>
      </c>
      <c r="H342" s="2" t="s">
        <v>66</v>
      </c>
      <c r="I342" s="4">
        <v>4</v>
      </c>
      <c r="J342" s="5">
        <v>5600</v>
      </c>
      <c r="K342" s="6">
        <v>0.15</v>
      </c>
      <c r="L342" s="2" t="s">
        <v>47</v>
      </c>
      <c r="M342" s="2" t="s">
        <v>94</v>
      </c>
      <c r="N342" s="5">
        <f t="shared" si="15"/>
        <v>22400</v>
      </c>
      <c r="O342" s="5">
        <f t="shared" si="16"/>
        <v>3360</v>
      </c>
      <c r="P342" s="5">
        <f t="shared" si="17"/>
        <v>19040</v>
      </c>
    </row>
    <row r="343" spans="1:16" x14ac:dyDescent="0.25">
      <c r="A343" s="2" t="s">
        <v>457</v>
      </c>
      <c r="B343" s="3">
        <v>45940</v>
      </c>
      <c r="C343" s="2" t="s">
        <v>50</v>
      </c>
      <c r="D343" s="2" t="s">
        <v>33</v>
      </c>
      <c r="E343" s="4">
        <v>55</v>
      </c>
      <c r="F343" s="2" t="s">
        <v>19</v>
      </c>
      <c r="G343" s="2" t="s">
        <v>35</v>
      </c>
      <c r="H343" s="2" t="s">
        <v>74</v>
      </c>
      <c r="I343" s="4">
        <v>1</v>
      </c>
      <c r="J343" s="5">
        <v>4400</v>
      </c>
      <c r="K343" s="6">
        <v>0.12</v>
      </c>
      <c r="L343" s="2" t="s">
        <v>29</v>
      </c>
      <c r="M343" s="2" t="s">
        <v>30</v>
      </c>
      <c r="N343" s="5">
        <f t="shared" si="15"/>
        <v>4400</v>
      </c>
      <c r="O343" s="5">
        <f t="shared" si="16"/>
        <v>528</v>
      </c>
      <c r="P343" s="5">
        <f t="shared" si="17"/>
        <v>3872</v>
      </c>
    </row>
    <row r="344" spans="1:16" x14ac:dyDescent="0.25">
      <c r="A344" s="2" t="s">
        <v>458</v>
      </c>
      <c r="B344" s="3">
        <v>45922</v>
      </c>
      <c r="C344" s="2" t="s">
        <v>118</v>
      </c>
      <c r="D344" s="2" t="s">
        <v>33</v>
      </c>
      <c r="E344" s="4">
        <v>30</v>
      </c>
      <c r="F344" s="2" t="s">
        <v>100</v>
      </c>
      <c r="G344" s="2" t="s">
        <v>65</v>
      </c>
      <c r="H344" s="2" t="s">
        <v>172</v>
      </c>
      <c r="I344" s="4">
        <v>8</v>
      </c>
      <c r="J344" s="5">
        <v>3700</v>
      </c>
      <c r="K344" s="6">
        <v>0</v>
      </c>
      <c r="L344" s="2" t="s">
        <v>22</v>
      </c>
      <c r="M344" s="2" t="s">
        <v>56</v>
      </c>
      <c r="N344" s="5">
        <f t="shared" si="15"/>
        <v>29600</v>
      </c>
      <c r="O344" s="5">
        <f t="shared" si="16"/>
        <v>0</v>
      </c>
      <c r="P344" s="5">
        <f t="shared" si="17"/>
        <v>29600</v>
      </c>
    </row>
    <row r="345" spans="1:16" x14ac:dyDescent="0.25">
      <c r="A345" s="2" t="s">
        <v>459</v>
      </c>
      <c r="B345" s="3">
        <v>45969</v>
      </c>
      <c r="C345" s="2" t="s">
        <v>128</v>
      </c>
      <c r="D345" s="2" t="s">
        <v>33</v>
      </c>
      <c r="E345" s="4">
        <v>32</v>
      </c>
      <c r="F345" s="2" t="s">
        <v>40</v>
      </c>
      <c r="G345" s="2" t="s">
        <v>65</v>
      </c>
      <c r="H345" s="2" t="s">
        <v>129</v>
      </c>
      <c r="I345" s="4">
        <v>6</v>
      </c>
      <c r="J345" s="5">
        <v>10000</v>
      </c>
      <c r="K345" s="6">
        <v>7.0000000000000007E-2</v>
      </c>
      <c r="L345" s="2" t="s">
        <v>22</v>
      </c>
      <c r="M345" s="2" t="s">
        <v>37</v>
      </c>
      <c r="N345" s="5">
        <f t="shared" si="15"/>
        <v>60000</v>
      </c>
      <c r="O345" s="5">
        <f t="shared" si="16"/>
        <v>4200</v>
      </c>
      <c r="P345" s="5">
        <f t="shared" si="17"/>
        <v>55800</v>
      </c>
    </row>
    <row r="346" spans="1:16" x14ac:dyDescent="0.25">
      <c r="A346" s="2" t="s">
        <v>460</v>
      </c>
      <c r="B346" s="3">
        <v>45940</v>
      </c>
      <c r="C346" s="2" t="s">
        <v>237</v>
      </c>
      <c r="D346" s="2" t="s">
        <v>18</v>
      </c>
      <c r="E346" s="4">
        <v>21</v>
      </c>
      <c r="F346" s="2" t="s">
        <v>40</v>
      </c>
      <c r="G346" s="2" t="s">
        <v>27</v>
      </c>
      <c r="H346" s="2" t="s">
        <v>41</v>
      </c>
      <c r="I346" s="4">
        <v>9</v>
      </c>
      <c r="J346" s="5">
        <v>104500</v>
      </c>
      <c r="K346" s="6">
        <v>0.12</v>
      </c>
      <c r="L346" s="2" t="s">
        <v>22</v>
      </c>
      <c r="M346" s="2" t="s">
        <v>37</v>
      </c>
      <c r="N346" s="5">
        <f t="shared" si="15"/>
        <v>940500</v>
      </c>
      <c r="O346" s="5">
        <f t="shared" si="16"/>
        <v>112860</v>
      </c>
      <c r="P346" s="5">
        <f t="shared" si="17"/>
        <v>827640</v>
      </c>
    </row>
    <row r="347" spans="1:16" x14ac:dyDescent="0.25">
      <c r="A347" s="2" t="s">
        <v>461</v>
      </c>
      <c r="B347" s="3">
        <v>46210</v>
      </c>
      <c r="C347" s="2" t="s">
        <v>80</v>
      </c>
      <c r="D347" s="2" t="s">
        <v>18</v>
      </c>
      <c r="E347" s="4">
        <v>43</v>
      </c>
      <c r="F347" s="2" t="s">
        <v>71</v>
      </c>
      <c r="G347" s="2" t="s">
        <v>45</v>
      </c>
      <c r="H347" s="2" t="s">
        <v>187</v>
      </c>
      <c r="I347" s="4">
        <v>6</v>
      </c>
      <c r="J347" s="5">
        <v>99600</v>
      </c>
      <c r="K347" s="6">
        <v>0.05</v>
      </c>
      <c r="L347" s="2" t="s">
        <v>22</v>
      </c>
      <c r="M347" s="2" t="s">
        <v>112</v>
      </c>
      <c r="N347" s="5">
        <f t="shared" si="15"/>
        <v>597600</v>
      </c>
      <c r="O347" s="5">
        <f t="shared" si="16"/>
        <v>29880</v>
      </c>
      <c r="P347" s="5">
        <f t="shared" si="17"/>
        <v>567720</v>
      </c>
    </row>
    <row r="348" spans="1:16" x14ac:dyDescent="0.25">
      <c r="A348" s="2" t="s">
        <v>462</v>
      </c>
      <c r="B348" s="3">
        <v>46177</v>
      </c>
      <c r="C348" s="2" t="s">
        <v>463</v>
      </c>
      <c r="D348" s="2" t="s">
        <v>18</v>
      </c>
      <c r="E348" s="4">
        <v>59</v>
      </c>
      <c r="F348" s="2" t="s">
        <v>19</v>
      </c>
      <c r="G348" s="2" t="s">
        <v>27</v>
      </c>
      <c r="H348" s="2" t="s">
        <v>81</v>
      </c>
      <c r="I348" s="4">
        <v>10</v>
      </c>
      <c r="J348" s="5">
        <v>99300</v>
      </c>
      <c r="K348" s="6">
        <v>0.05</v>
      </c>
      <c r="L348" s="2" t="s">
        <v>47</v>
      </c>
      <c r="M348" s="2" t="s">
        <v>68</v>
      </c>
      <c r="N348" s="5">
        <f t="shared" si="15"/>
        <v>993000</v>
      </c>
      <c r="O348" s="5">
        <f t="shared" si="16"/>
        <v>49650</v>
      </c>
      <c r="P348" s="5">
        <f t="shared" si="17"/>
        <v>943350</v>
      </c>
    </row>
    <row r="349" spans="1:16" x14ac:dyDescent="0.25">
      <c r="A349" s="2" t="s">
        <v>464</v>
      </c>
      <c r="B349" s="3">
        <v>46202</v>
      </c>
      <c r="C349" s="2" t="s">
        <v>132</v>
      </c>
      <c r="D349" s="2" t="s">
        <v>33</v>
      </c>
      <c r="E349" s="4">
        <v>26</v>
      </c>
      <c r="F349" s="2" t="s">
        <v>26</v>
      </c>
      <c r="G349" s="2" t="s">
        <v>35</v>
      </c>
      <c r="H349" s="2" t="s">
        <v>125</v>
      </c>
      <c r="I349" s="4">
        <v>10</v>
      </c>
      <c r="J349" s="5">
        <v>2500</v>
      </c>
      <c r="K349" s="6">
        <v>0.15</v>
      </c>
      <c r="L349" s="2" t="s">
        <v>29</v>
      </c>
      <c r="M349" s="2" t="s">
        <v>56</v>
      </c>
      <c r="N349" s="5">
        <f t="shared" si="15"/>
        <v>25000</v>
      </c>
      <c r="O349" s="5">
        <f t="shared" si="16"/>
        <v>3750</v>
      </c>
      <c r="P349" s="5">
        <f t="shared" si="17"/>
        <v>21250</v>
      </c>
    </row>
    <row r="350" spans="1:16" x14ac:dyDescent="0.25">
      <c r="A350" s="2" t="s">
        <v>465</v>
      </c>
      <c r="B350" s="3">
        <v>45943</v>
      </c>
      <c r="C350" s="2" t="s">
        <v>128</v>
      </c>
      <c r="D350" s="2" t="s">
        <v>33</v>
      </c>
      <c r="E350" s="4">
        <v>38</v>
      </c>
      <c r="F350" s="2" t="s">
        <v>71</v>
      </c>
      <c r="G350" s="2" t="s">
        <v>27</v>
      </c>
      <c r="H350" s="2" t="s">
        <v>77</v>
      </c>
      <c r="I350" s="4">
        <v>3</v>
      </c>
      <c r="J350" s="5">
        <v>41300</v>
      </c>
      <c r="K350" s="6">
        <v>0.12</v>
      </c>
      <c r="L350" s="2" t="s">
        <v>29</v>
      </c>
      <c r="M350" s="2" t="s">
        <v>48</v>
      </c>
      <c r="N350" s="5">
        <f t="shared" si="15"/>
        <v>123900</v>
      </c>
      <c r="O350" s="5">
        <f t="shared" si="16"/>
        <v>14868</v>
      </c>
      <c r="P350" s="5">
        <f t="shared" si="17"/>
        <v>109032</v>
      </c>
    </row>
    <row r="351" spans="1:16" x14ac:dyDescent="0.25">
      <c r="A351" s="2" t="s">
        <v>466</v>
      </c>
      <c r="B351" s="3">
        <v>45971</v>
      </c>
      <c r="C351" s="2" t="s">
        <v>85</v>
      </c>
      <c r="D351" s="2" t="s">
        <v>18</v>
      </c>
      <c r="E351" s="4">
        <v>38</v>
      </c>
      <c r="F351" s="2" t="s">
        <v>26</v>
      </c>
      <c r="G351" s="2" t="s">
        <v>35</v>
      </c>
      <c r="H351" s="2" t="s">
        <v>125</v>
      </c>
      <c r="I351" s="4">
        <v>6</v>
      </c>
      <c r="J351" s="5">
        <v>2300</v>
      </c>
      <c r="K351" s="6">
        <v>0.18</v>
      </c>
      <c r="L351" s="2" t="s">
        <v>22</v>
      </c>
      <c r="M351" s="2" t="s">
        <v>68</v>
      </c>
      <c r="N351" s="5">
        <f t="shared" si="15"/>
        <v>13800</v>
      </c>
      <c r="O351" s="5">
        <f t="shared" si="16"/>
        <v>2484</v>
      </c>
      <c r="P351" s="5">
        <f t="shared" si="17"/>
        <v>11316</v>
      </c>
    </row>
    <row r="352" spans="1:16" x14ac:dyDescent="0.25">
      <c r="A352" s="2" t="s">
        <v>467</v>
      </c>
      <c r="B352" s="3">
        <v>45957</v>
      </c>
      <c r="C352" s="2" t="s">
        <v>50</v>
      </c>
      <c r="D352" s="2" t="s">
        <v>33</v>
      </c>
      <c r="E352" s="4">
        <v>62</v>
      </c>
      <c r="F352" s="2" t="s">
        <v>40</v>
      </c>
      <c r="G352" s="2" t="s">
        <v>20</v>
      </c>
      <c r="H352" s="2" t="s">
        <v>86</v>
      </c>
      <c r="I352" s="4">
        <v>2</v>
      </c>
      <c r="J352" s="5">
        <v>14400</v>
      </c>
      <c r="K352" s="6">
        <v>0</v>
      </c>
      <c r="L352" s="2" t="s">
        <v>22</v>
      </c>
      <c r="M352" s="2" t="s">
        <v>112</v>
      </c>
      <c r="N352" s="5">
        <f t="shared" si="15"/>
        <v>28800</v>
      </c>
      <c r="O352" s="5">
        <f t="shared" si="16"/>
        <v>0</v>
      </c>
      <c r="P352" s="5">
        <f t="shared" si="17"/>
        <v>28800</v>
      </c>
    </row>
    <row r="353" spans="1:16" x14ac:dyDescent="0.25">
      <c r="A353" s="2" t="s">
        <v>468</v>
      </c>
      <c r="B353" s="3">
        <v>46074</v>
      </c>
      <c r="C353" s="2" t="s">
        <v>311</v>
      </c>
      <c r="D353" s="2" t="s">
        <v>33</v>
      </c>
      <c r="E353" s="4">
        <v>44</v>
      </c>
      <c r="F353" s="2" t="s">
        <v>26</v>
      </c>
      <c r="G353" s="2" t="s">
        <v>51</v>
      </c>
      <c r="H353" s="2" t="s">
        <v>120</v>
      </c>
      <c r="I353" s="4">
        <v>6</v>
      </c>
      <c r="J353" s="5">
        <v>37400</v>
      </c>
      <c r="K353" s="6">
        <v>0.2</v>
      </c>
      <c r="L353" s="2" t="s">
        <v>47</v>
      </c>
      <c r="M353" s="2" t="s">
        <v>48</v>
      </c>
      <c r="N353" s="5">
        <f t="shared" si="15"/>
        <v>224400</v>
      </c>
      <c r="O353" s="5">
        <f t="shared" si="16"/>
        <v>44880</v>
      </c>
      <c r="P353" s="5">
        <f t="shared" si="17"/>
        <v>179520</v>
      </c>
    </row>
    <row r="354" spans="1:16" x14ac:dyDescent="0.25">
      <c r="A354" s="2" t="s">
        <v>469</v>
      </c>
      <c r="B354" s="3">
        <v>46095</v>
      </c>
      <c r="C354" s="2" t="s">
        <v>118</v>
      </c>
      <c r="D354" s="2" t="s">
        <v>33</v>
      </c>
      <c r="E354" s="4">
        <v>59</v>
      </c>
      <c r="F354" s="2" t="s">
        <v>34</v>
      </c>
      <c r="G354" s="2" t="s">
        <v>27</v>
      </c>
      <c r="H354" s="2" t="s">
        <v>41</v>
      </c>
      <c r="I354" s="4">
        <v>2</v>
      </c>
      <c r="J354" s="5">
        <v>149200</v>
      </c>
      <c r="K354" s="6">
        <v>0</v>
      </c>
      <c r="L354" s="2" t="s">
        <v>47</v>
      </c>
      <c r="M354" s="2" t="s">
        <v>56</v>
      </c>
      <c r="N354" s="5">
        <f t="shared" si="15"/>
        <v>298400</v>
      </c>
      <c r="O354" s="5">
        <f t="shared" si="16"/>
        <v>0</v>
      </c>
      <c r="P354" s="5">
        <f t="shared" si="17"/>
        <v>298400</v>
      </c>
    </row>
    <row r="355" spans="1:16" x14ac:dyDescent="0.25">
      <c r="A355" s="2" t="s">
        <v>470</v>
      </c>
      <c r="B355" s="3">
        <v>46013</v>
      </c>
      <c r="C355" s="2" t="s">
        <v>110</v>
      </c>
      <c r="D355" s="2" t="s">
        <v>18</v>
      </c>
      <c r="E355" s="4">
        <v>24</v>
      </c>
      <c r="F355" s="2" t="s">
        <v>40</v>
      </c>
      <c r="G355" s="2" t="s">
        <v>20</v>
      </c>
      <c r="H355" s="2" t="s">
        <v>21</v>
      </c>
      <c r="I355" s="4">
        <v>7</v>
      </c>
      <c r="J355" s="5">
        <v>3300</v>
      </c>
      <c r="K355" s="6">
        <v>0.05</v>
      </c>
      <c r="L355" s="2" t="s">
        <v>29</v>
      </c>
      <c r="M355" s="2" t="s">
        <v>48</v>
      </c>
      <c r="N355" s="5">
        <f t="shared" si="15"/>
        <v>23100</v>
      </c>
      <c r="O355" s="5">
        <f t="shared" si="16"/>
        <v>1155</v>
      </c>
      <c r="P355" s="5">
        <f t="shared" si="17"/>
        <v>21945</v>
      </c>
    </row>
    <row r="356" spans="1:16" x14ac:dyDescent="0.25">
      <c r="A356" s="2" t="s">
        <v>471</v>
      </c>
      <c r="B356" s="3">
        <v>46130</v>
      </c>
      <c r="C356" s="2" t="s">
        <v>122</v>
      </c>
      <c r="D356" s="2" t="s">
        <v>33</v>
      </c>
      <c r="E356" s="4">
        <v>39</v>
      </c>
      <c r="F356" s="2" t="s">
        <v>71</v>
      </c>
      <c r="G356" s="2" t="s">
        <v>65</v>
      </c>
      <c r="H356" s="2" t="s">
        <v>129</v>
      </c>
      <c r="I356" s="4">
        <v>1</v>
      </c>
      <c r="J356" s="5">
        <v>21500</v>
      </c>
      <c r="K356" s="6">
        <v>0.15</v>
      </c>
      <c r="L356" s="2" t="s">
        <v>29</v>
      </c>
      <c r="M356" s="2" t="s">
        <v>94</v>
      </c>
      <c r="N356" s="5">
        <f t="shared" si="15"/>
        <v>21500</v>
      </c>
      <c r="O356" s="5">
        <f t="shared" si="16"/>
        <v>3225</v>
      </c>
      <c r="P356" s="5">
        <f t="shared" si="17"/>
        <v>18275</v>
      </c>
    </row>
    <row r="357" spans="1:16" x14ac:dyDescent="0.25">
      <c r="A357" s="2" t="s">
        <v>472</v>
      </c>
      <c r="B357" s="3">
        <v>46160</v>
      </c>
      <c r="C357" s="2" t="s">
        <v>107</v>
      </c>
      <c r="D357" s="2" t="s">
        <v>33</v>
      </c>
      <c r="E357" s="4">
        <v>28</v>
      </c>
      <c r="F357" s="2" t="s">
        <v>40</v>
      </c>
      <c r="G357" s="2" t="s">
        <v>45</v>
      </c>
      <c r="H357" s="2" t="s">
        <v>187</v>
      </c>
      <c r="I357" s="4">
        <v>4</v>
      </c>
      <c r="J357" s="5">
        <v>86900</v>
      </c>
      <c r="K357" s="6">
        <v>0.15</v>
      </c>
      <c r="L357" s="2" t="s">
        <v>29</v>
      </c>
      <c r="M357" s="2" t="s">
        <v>42</v>
      </c>
      <c r="N357" s="5">
        <f t="shared" si="15"/>
        <v>347600</v>
      </c>
      <c r="O357" s="5">
        <f t="shared" si="16"/>
        <v>52140</v>
      </c>
      <c r="P357" s="5">
        <f t="shared" si="17"/>
        <v>295460</v>
      </c>
    </row>
    <row r="358" spans="1:16" x14ac:dyDescent="0.25">
      <c r="A358" s="2" t="s">
        <v>473</v>
      </c>
      <c r="B358" s="3">
        <v>46126</v>
      </c>
      <c r="C358" s="2" t="s">
        <v>110</v>
      </c>
      <c r="D358" s="2" t="s">
        <v>18</v>
      </c>
      <c r="E358" s="4">
        <v>60</v>
      </c>
      <c r="F358" s="2" t="s">
        <v>19</v>
      </c>
      <c r="G358" s="2" t="s">
        <v>20</v>
      </c>
      <c r="H358" s="2" t="s">
        <v>21</v>
      </c>
      <c r="I358" s="4">
        <v>1</v>
      </c>
      <c r="J358" s="5">
        <v>1700</v>
      </c>
      <c r="K358" s="6">
        <v>0.15</v>
      </c>
      <c r="L358" s="2" t="s">
        <v>29</v>
      </c>
      <c r="M358" s="2" t="s">
        <v>42</v>
      </c>
      <c r="N358" s="5">
        <f t="shared" si="15"/>
        <v>1700</v>
      </c>
      <c r="O358" s="5">
        <f t="shared" si="16"/>
        <v>255</v>
      </c>
      <c r="P358" s="5">
        <f t="shared" si="17"/>
        <v>1445</v>
      </c>
    </row>
    <row r="359" spans="1:16" x14ac:dyDescent="0.25">
      <c r="A359" s="2" t="s">
        <v>474</v>
      </c>
      <c r="B359" s="3">
        <v>46101</v>
      </c>
      <c r="C359" s="2" t="s">
        <v>89</v>
      </c>
      <c r="D359" s="2" t="s">
        <v>33</v>
      </c>
      <c r="E359" s="4">
        <v>21</v>
      </c>
      <c r="F359" s="2" t="s">
        <v>19</v>
      </c>
      <c r="G359" s="2" t="s">
        <v>45</v>
      </c>
      <c r="H359" s="2" t="s">
        <v>59</v>
      </c>
      <c r="I359" s="4">
        <v>5</v>
      </c>
      <c r="J359" s="5">
        <v>12700</v>
      </c>
      <c r="K359" s="6">
        <v>0.18</v>
      </c>
      <c r="L359" s="2" t="s">
        <v>22</v>
      </c>
      <c r="M359" s="2" t="s">
        <v>48</v>
      </c>
      <c r="N359" s="5">
        <f t="shared" si="15"/>
        <v>63500</v>
      </c>
      <c r="O359" s="5">
        <f t="shared" si="16"/>
        <v>11430</v>
      </c>
      <c r="P359" s="5">
        <f t="shared" si="17"/>
        <v>52070</v>
      </c>
    </row>
    <row r="360" spans="1:16" x14ac:dyDescent="0.25">
      <c r="A360" s="2" t="s">
        <v>475</v>
      </c>
      <c r="B360" s="3">
        <v>45863</v>
      </c>
      <c r="C360" s="2" t="s">
        <v>32</v>
      </c>
      <c r="D360" s="2" t="s">
        <v>33</v>
      </c>
      <c r="E360" s="4">
        <v>28</v>
      </c>
      <c r="F360" s="2" t="s">
        <v>34</v>
      </c>
      <c r="G360" s="2" t="s">
        <v>20</v>
      </c>
      <c r="H360" s="2" t="s">
        <v>114</v>
      </c>
      <c r="I360" s="4">
        <v>2</v>
      </c>
      <c r="J360" s="5">
        <v>3500</v>
      </c>
      <c r="K360" s="6">
        <v>0.1</v>
      </c>
      <c r="L360" s="2" t="s">
        <v>47</v>
      </c>
      <c r="M360" s="2" t="s">
        <v>23</v>
      </c>
      <c r="N360" s="5">
        <f t="shared" si="15"/>
        <v>7000</v>
      </c>
      <c r="O360" s="5">
        <f t="shared" si="16"/>
        <v>700</v>
      </c>
      <c r="P360" s="5">
        <f t="shared" si="17"/>
        <v>6300</v>
      </c>
    </row>
    <row r="361" spans="1:16" x14ac:dyDescent="0.25">
      <c r="A361" s="2" t="s">
        <v>476</v>
      </c>
      <c r="B361" s="3">
        <v>46100</v>
      </c>
      <c r="C361" s="2" t="s">
        <v>80</v>
      </c>
      <c r="D361" s="2" t="s">
        <v>18</v>
      </c>
      <c r="E361" s="4">
        <v>34</v>
      </c>
      <c r="F361" s="2" t="s">
        <v>40</v>
      </c>
      <c r="G361" s="2" t="s">
        <v>35</v>
      </c>
      <c r="H361" s="2" t="s">
        <v>55</v>
      </c>
      <c r="I361" s="4">
        <v>6</v>
      </c>
      <c r="J361" s="5">
        <v>4300</v>
      </c>
      <c r="K361" s="6">
        <v>0.15</v>
      </c>
      <c r="L361" s="2" t="s">
        <v>47</v>
      </c>
      <c r="M361" s="2" t="s">
        <v>94</v>
      </c>
      <c r="N361" s="5">
        <f t="shared" si="15"/>
        <v>25800</v>
      </c>
      <c r="O361" s="5">
        <f t="shared" si="16"/>
        <v>3870</v>
      </c>
      <c r="P361" s="5">
        <f t="shared" si="17"/>
        <v>21930</v>
      </c>
    </row>
    <row r="362" spans="1:16" x14ac:dyDescent="0.25">
      <c r="A362" s="2" t="s">
        <v>477</v>
      </c>
      <c r="B362" s="3">
        <v>46078</v>
      </c>
      <c r="C362" s="2" t="s">
        <v>96</v>
      </c>
      <c r="D362" s="2" t="s">
        <v>18</v>
      </c>
      <c r="E362" s="4">
        <v>34</v>
      </c>
      <c r="F362" s="2" t="s">
        <v>100</v>
      </c>
      <c r="G362" s="2" t="s">
        <v>51</v>
      </c>
      <c r="H362" s="2" t="s">
        <v>92</v>
      </c>
      <c r="I362" s="4">
        <v>5</v>
      </c>
      <c r="J362" s="5">
        <v>18700</v>
      </c>
      <c r="K362" s="6">
        <v>0</v>
      </c>
      <c r="L362" s="2" t="s">
        <v>22</v>
      </c>
      <c r="M362" s="2" t="s">
        <v>48</v>
      </c>
      <c r="N362" s="5">
        <f t="shared" si="15"/>
        <v>93500</v>
      </c>
      <c r="O362" s="5">
        <f t="shared" si="16"/>
        <v>0</v>
      </c>
      <c r="P362" s="5">
        <f t="shared" si="17"/>
        <v>93500</v>
      </c>
    </row>
    <row r="363" spans="1:16" x14ac:dyDescent="0.25">
      <c r="A363" s="2" t="s">
        <v>478</v>
      </c>
      <c r="B363" s="3">
        <v>45893</v>
      </c>
      <c r="C363" s="2" t="s">
        <v>80</v>
      </c>
      <c r="D363" s="2" t="s">
        <v>18</v>
      </c>
      <c r="E363" s="4">
        <v>40</v>
      </c>
      <c r="F363" s="2" t="s">
        <v>71</v>
      </c>
      <c r="G363" s="2" t="s">
        <v>51</v>
      </c>
      <c r="H363" s="2" t="s">
        <v>52</v>
      </c>
      <c r="I363" s="4">
        <v>1</v>
      </c>
      <c r="J363" s="5">
        <v>235100</v>
      </c>
      <c r="K363" s="6">
        <v>0.15</v>
      </c>
      <c r="L363" s="2" t="s">
        <v>29</v>
      </c>
      <c r="M363" s="2" t="s">
        <v>112</v>
      </c>
      <c r="N363" s="5">
        <f t="shared" si="15"/>
        <v>235100</v>
      </c>
      <c r="O363" s="5">
        <f t="shared" si="16"/>
        <v>35265</v>
      </c>
      <c r="P363" s="5">
        <f t="shared" si="17"/>
        <v>199835</v>
      </c>
    </row>
    <row r="364" spans="1:16" x14ac:dyDescent="0.25">
      <c r="A364" s="2" t="s">
        <v>479</v>
      </c>
      <c r="B364" s="3">
        <v>46124</v>
      </c>
      <c r="C364" s="2" t="s">
        <v>105</v>
      </c>
      <c r="D364" s="2" t="s">
        <v>33</v>
      </c>
      <c r="E364" s="4">
        <v>48</v>
      </c>
      <c r="F364" s="2" t="s">
        <v>71</v>
      </c>
      <c r="G364" s="2" t="s">
        <v>27</v>
      </c>
      <c r="H364" s="2" t="s">
        <v>28</v>
      </c>
      <c r="I364" s="4">
        <v>2</v>
      </c>
      <c r="J364" s="5">
        <v>39800</v>
      </c>
      <c r="K364" s="6">
        <v>0.15</v>
      </c>
      <c r="L364" s="2" t="s">
        <v>29</v>
      </c>
      <c r="M364" s="2" t="s">
        <v>56</v>
      </c>
      <c r="N364" s="5">
        <f t="shared" si="15"/>
        <v>79600</v>
      </c>
      <c r="O364" s="5">
        <f t="shared" si="16"/>
        <v>11940</v>
      </c>
      <c r="P364" s="5">
        <f t="shared" si="17"/>
        <v>67660</v>
      </c>
    </row>
    <row r="365" spans="1:16" x14ac:dyDescent="0.25">
      <c r="A365" s="2" t="s">
        <v>480</v>
      </c>
      <c r="B365" s="3">
        <v>46107</v>
      </c>
      <c r="C365" s="2" t="s">
        <v>118</v>
      </c>
      <c r="D365" s="2" t="s">
        <v>33</v>
      </c>
      <c r="E365" s="4">
        <v>51</v>
      </c>
      <c r="F365" s="2" t="s">
        <v>71</v>
      </c>
      <c r="G365" s="2" t="s">
        <v>35</v>
      </c>
      <c r="H365" s="2" t="s">
        <v>36</v>
      </c>
      <c r="I365" s="4">
        <v>8</v>
      </c>
      <c r="J365" s="5">
        <v>3200</v>
      </c>
      <c r="K365" s="6">
        <v>0.05</v>
      </c>
      <c r="L365" s="2" t="s">
        <v>22</v>
      </c>
      <c r="M365" s="2" t="s">
        <v>60</v>
      </c>
      <c r="N365" s="5">
        <f t="shared" si="15"/>
        <v>25600</v>
      </c>
      <c r="O365" s="5">
        <f t="shared" si="16"/>
        <v>1280</v>
      </c>
      <c r="P365" s="5">
        <f t="shared" si="17"/>
        <v>24320</v>
      </c>
    </row>
    <row r="366" spans="1:16" x14ac:dyDescent="0.25">
      <c r="A366" s="2" t="s">
        <v>481</v>
      </c>
      <c r="B366" s="3">
        <v>45948</v>
      </c>
      <c r="C366" s="2" t="s">
        <v>161</v>
      </c>
      <c r="D366" s="2" t="s">
        <v>18</v>
      </c>
      <c r="E366" s="4">
        <v>20</v>
      </c>
      <c r="F366" s="2" t="s">
        <v>100</v>
      </c>
      <c r="G366" s="2" t="s">
        <v>45</v>
      </c>
      <c r="H366" s="2" t="s">
        <v>59</v>
      </c>
      <c r="I366" s="4">
        <v>3</v>
      </c>
      <c r="J366" s="5">
        <v>13700</v>
      </c>
      <c r="K366" s="6">
        <v>0.1</v>
      </c>
      <c r="L366" s="2" t="s">
        <v>47</v>
      </c>
      <c r="M366" s="2" t="s">
        <v>48</v>
      </c>
      <c r="N366" s="5">
        <f t="shared" si="15"/>
        <v>41100</v>
      </c>
      <c r="O366" s="5">
        <f t="shared" si="16"/>
        <v>4110</v>
      </c>
      <c r="P366" s="5">
        <f t="shared" si="17"/>
        <v>36990</v>
      </c>
    </row>
    <row r="367" spans="1:16" x14ac:dyDescent="0.25">
      <c r="A367" s="2" t="s">
        <v>482</v>
      </c>
      <c r="B367" s="3">
        <v>45894</v>
      </c>
      <c r="C367" s="2" t="s">
        <v>137</v>
      </c>
      <c r="D367" s="2" t="s">
        <v>33</v>
      </c>
      <c r="E367" s="4">
        <v>53</v>
      </c>
      <c r="F367" s="2" t="s">
        <v>100</v>
      </c>
      <c r="G367" s="2" t="s">
        <v>65</v>
      </c>
      <c r="H367" s="2" t="s">
        <v>172</v>
      </c>
      <c r="I367" s="4">
        <v>5</v>
      </c>
      <c r="J367" s="5">
        <v>6500</v>
      </c>
      <c r="K367" s="6">
        <v>0.2</v>
      </c>
      <c r="L367" s="2" t="s">
        <v>47</v>
      </c>
      <c r="M367" s="2" t="s">
        <v>56</v>
      </c>
      <c r="N367" s="5">
        <f t="shared" si="15"/>
        <v>32500</v>
      </c>
      <c r="O367" s="5">
        <f t="shared" si="16"/>
        <v>6500</v>
      </c>
      <c r="P367" s="5">
        <f t="shared" si="17"/>
        <v>26000</v>
      </c>
    </row>
    <row r="368" spans="1:16" x14ac:dyDescent="0.25">
      <c r="A368" s="2" t="s">
        <v>483</v>
      </c>
      <c r="B368" s="3">
        <v>46208</v>
      </c>
      <c r="C368" s="2" t="s">
        <v>229</v>
      </c>
      <c r="D368" s="2" t="s">
        <v>18</v>
      </c>
      <c r="E368" s="4">
        <v>55</v>
      </c>
      <c r="F368" s="2" t="s">
        <v>71</v>
      </c>
      <c r="G368" s="2" t="s">
        <v>51</v>
      </c>
      <c r="H368" s="2" t="s">
        <v>111</v>
      </c>
      <c r="I368" s="4">
        <v>3</v>
      </c>
      <c r="J368" s="5">
        <v>358600</v>
      </c>
      <c r="K368" s="6">
        <v>0.05</v>
      </c>
      <c r="L368" s="2" t="s">
        <v>29</v>
      </c>
      <c r="M368" s="2" t="s">
        <v>30</v>
      </c>
      <c r="N368" s="5">
        <f t="shared" si="15"/>
        <v>1075800</v>
      </c>
      <c r="O368" s="5">
        <f t="shared" si="16"/>
        <v>53790</v>
      </c>
      <c r="P368" s="5">
        <f t="shared" si="17"/>
        <v>1022010</v>
      </c>
    </row>
    <row r="369" spans="1:16" x14ac:dyDescent="0.25">
      <c r="A369" s="2" t="s">
        <v>484</v>
      </c>
      <c r="B369" s="3">
        <v>46148</v>
      </c>
      <c r="C369" s="2" t="s">
        <v>25</v>
      </c>
      <c r="D369" s="2" t="s">
        <v>18</v>
      </c>
      <c r="E369" s="4">
        <v>24</v>
      </c>
      <c r="F369" s="2" t="s">
        <v>40</v>
      </c>
      <c r="G369" s="2" t="s">
        <v>65</v>
      </c>
      <c r="H369" s="2" t="s">
        <v>66</v>
      </c>
      <c r="I369" s="4">
        <v>5</v>
      </c>
      <c r="J369" s="5">
        <v>5700</v>
      </c>
      <c r="K369" s="6">
        <v>0.2</v>
      </c>
      <c r="L369" s="2" t="s">
        <v>47</v>
      </c>
      <c r="M369" s="2" t="s">
        <v>112</v>
      </c>
      <c r="N369" s="5">
        <f t="shared" si="15"/>
        <v>28500</v>
      </c>
      <c r="O369" s="5">
        <f t="shared" si="16"/>
        <v>5700</v>
      </c>
      <c r="P369" s="5">
        <f t="shared" si="17"/>
        <v>22800</v>
      </c>
    </row>
    <row r="370" spans="1:16" x14ac:dyDescent="0.25">
      <c r="A370" s="2" t="s">
        <v>485</v>
      </c>
      <c r="B370" s="3">
        <v>45985</v>
      </c>
      <c r="C370" s="2" t="s">
        <v>137</v>
      </c>
      <c r="D370" s="2" t="s">
        <v>33</v>
      </c>
      <c r="E370" s="4">
        <v>59</v>
      </c>
      <c r="F370" s="2" t="s">
        <v>100</v>
      </c>
      <c r="G370" s="2" t="s">
        <v>65</v>
      </c>
      <c r="H370" s="2" t="s">
        <v>129</v>
      </c>
      <c r="I370" s="4">
        <v>3</v>
      </c>
      <c r="J370" s="5">
        <v>10600</v>
      </c>
      <c r="K370" s="6">
        <v>0.1</v>
      </c>
      <c r="L370" s="2" t="s">
        <v>47</v>
      </c>
      <c r="M370" s="2" t="s">
        <v>94</v>
      </c>
      <c r="N370" s="5">
        <f t="shared" si="15"/>
        <v>31800</v>
      </c>
      <c r="O370" s="5">
        <f t="shared" si="16"/>
        <v>3180</v>
      </c>
      <c r="P370" s="5">
        <f t="shared" si="17"/>
        <v>28620</v>
      </c>
    </row>
    <row r="371" spans="1:16" x14ac:dyDescent="0.25">
      <c r="A371" s="2" t="s">
        <v>486</v>
      </c>
      <c r="B371" s="3">
        <v>46166</v>
      </c>
      <c r="C371" s="2" t="s">
        <v>128</v>
      </c>
      <c r="D371" s="2" t="s">
        <v>33</v>
      </c>
      <c r="E371" s="4">
        <v>61</v>
      </c>
      <c r="F371" s="2" t="s">
        <v>34</v>
      </c>
      <c r="G371" s="2" t="s">
        <v>51</v>
      </c>
      <c r="H371" s="2" t="s">
        <v>111</v>
      </c>
      <c r="I371" s="4">
        <v>6</v>
      </c>
      <c r="J371" s="5">
        <v>353800</v>
      </c>
      <c r="K371" s="6">
        <v>7.0000000000000007E-2</v>
      </c>
      <c r="L371" s="2" t="s">
        <v>22</v>
      </c>
      <c r="M371" s="2" t="s">
        <v>23</v>
      </c>
      <c r="N371" s="5">
        <f t="shared" si="15"/>
        <v>2122800</v>
      </c>
      <c r="O371" s="5">
        <f t="shared" si="16"/>
        <v>148596</v>
      </c>
      <c r="P371" s="5">
        <f t="shared" si="17"/>
        <v>1974204</v>
      </c>
    </row>
    <row r="372" spans="1:16" x14ac:dyDescent="0.25">
      <c r="A372" s="2" t="s">
        <v>487</v>
      </c>
      <c r="B372" s="3">
        <v>45987</v>
      </c>
      <c r="C372" s="2" t="s">
        <v>283</v>
      </c>
      <c r="D372" s="2" t="s">
        <v>18</v>
      </c>
      <c r="E372" s="4">
        <v>19</v>
      </c>
      <c r="F372" s="2" t="s">
        <v>19</v>
      </c>
      <c r="G372" s="2" t="s">
        <v>20</v>
      </c>
      <c r="H372" s="2" t="s">
        <v>86</v>
      </c>
      <c r="I372" s="4">
        <v>8</v>
      </c>
      <c r="J372" s="5">
        <v>10300</v>
      </c>
      <c r="K372" s="6">
        <v>0.02</v>
      </c>
      <c r="L372" s="2" t="s">
        <v>22</v>
      </c>
      <c r="M372" s="2" t="s">
        <v>94</v>
      </c>
      <c r="N372" s="5">
        <f t="shared" si="15"/>
        <v>82400</v>
      </c>
      <c r="O372" s="5">
        <f t="shared" si="16"/>
        <v>1648</v>
      </c>
      <c r="P372" s="5">
        <f t="shared" si="17"/>
        <v>80752</v>
      </c>
    </row>
    <row r="373" spans="1:16" x14ac:dyDescent="0.25">
      <c r="A373" s="2" t="s">
        <v>488</v>
      </c>
      <c r="B373" s="3">
        <v>46003</v>
      </c>
      <c r="C373" s="2" t="s">
        <v>73</v>
      </c>
      <c r="D373" s="2" t="s">
        <v>18</v>
      </c>
      <c r="E373" s="4">
        <v>46</v>
      </c>
      <c r="F373" s="2" t="s">
        <v>19</v>
      </c>
      <c r="G373" s="2" t="s">
        <v>20</v>
      </c>
      <c r="H373" s="2" t="s">
        <v>108</v>
      </c>
      <c r="I373" s="4">
        <v>2</v>
      </c>
      <c r="J373" s="5">
        <v>54800</v>
      </c>
      <c r="K373" s="6">
        <v>7.0000000000000007E-2</v>
      </c>
      <c r="L373" s="2" t="s">
        <v>47</v>
      </c>
      <c r="M373" s="2" t="s">
        <v>60</v>
      </c>
      <c r="N373" s="5">
        <f t="shared" si="15"/>
        <v>109600</v>
      </c>
      <c r="O373" s="5">
        <f t="shared" si="16"/>
        <v>7672.0000000000009</v>
      </c>
      <c r="P373" s="5">
        <f t="shared" si="17"/>
        <v>101928</v>
      </c>
    </row>
    <row r="374" spans="1:16" x14ac:dyDescent="0.25">
      <c r="A374" s="2" t="s">
        <v>489</v>
      </c>
      <c r="B374" s="3">
        <v>46058</v>
      </c>
      <c r="C374" s="2" t="s">
        <v>73</v>
      </c>
      <c r="D374" s="2" t="s">
        <v>18</v>
      </c>
      <c r="E374" s="4">
        <v>49</v>
      </c>
      <c r="F374" s="2" t="s">
        <v>71</v>
      </c>
      <c r="G374" s="2" t="s">
        <v>20</v>
      </c>
      <c r="H374" s="2" t="s">
        <v>114</v>
      </c>
      <c r="I374" s="4">
        <v>3</v>
      </c>
      <c r="J374" s="5">
        <v>3600</v>
      </c>
      <c r="K374" s="6">
        <v>0.02</v>
      </c>
      <c r="L374" s="2" t="s">
        <v>47</v>
      </c>
      <c r="M374" s="2" t="s">
        <v>42</v>
      </c>
      <c r="N374" s="5">
        <f t="shared" si="15"/>
        <v>10800</v>
      </c>
      <c r="O374" s="5">
        <f t="shared" si="16"/>
        <v>216</v>
      </c>
      <c r="P374" s="5">
        <f t="shared" si="17"/>
        <v>10584</v>
      </c>
    </row>
    <row r="375" spans="1:16" x14ac:dyDescent="0.25">
      <c r="A375" s="2" t="s">
        <v>490</v>
      </c>
      <c r="B375" s="3">
        <v>46056</v>
      </c>
      <c r="C375" s="2" t="s">
        <v>161</v>
      </c>
      <c r="D375" s="2" t="s">
        <v>18</v>
      </c>
      <c r="E375" s="4">
        <v>51</v>
      </c>
      <c r="F375" s="2" t="s">
        <v>71</v>
      </c>
      <c r="G375" s="2" t="s">
        <v>45</v>
      </c>
      <c r="H375" s="2" t="s">
        <v>101</v>
      </c>
      <c r="I375" s="4">
        <v>4</v>
      </c>
      <c r="J375" s="5">
        <v>14300</v>
      </c>
      <c r="K375" s="6">
        <v>0</v>
      </c>
      <c r="L375" s="2" t="s">
        <v>22</v>
      </c>
      <c r="M375" s="2" t="s">
        <v>56</v>
      </c>
      <c r="N375" s="5">
        <f t="shared" si="15"/>
        <v>57200</v>
      </c>
      <c r="O375" s="5">
        <f t="shared" si="16"/>
        <v>0</v>
      </c>
      <c r="P375" s="5">
        <f t="shared" si="17"/>
        <v>57200</v>
      </c>
    </row>
    <row r="376" spans="1:16" x14ac:dyDescent="0.25">
      <c r="A376" s="2" t="s">
        <v>491</v>
      </c>
      <c r="B376" s="3">
        <v>46083</v>
      </c>
      <c r="C376" s="2" t="s">
        <v>76</v>
      </c>
      <c r="D376" s="2" t="s">
        <v>33</v>
      </c>
      <c r="E376" s="4">
        <v>41</v>
      </c>
      <c r="F376" s="2" t="s">
        <v>34</v>
      </c>
      <c r="G376" s="2" t="s">
        <v>27</v>
      </c>
      <c r="H376" s="2" t="s">
        <v>81</v>
      </c>
      <c r="I376" s="4">
        <v>8</v>
      </c>
      <c r="J376" s="5">
        <v>118300</v>
      </c>
      <c r="K376" s="6">
        <v>0.2</v>
      </c>
      <c r="L376" s="2" t="s">
        <v>47</v>
      </c>
      <c r="M376" s="2" t="s">
        <v>48</v>
      </c>
      <c r="N376" s="5">
        <f t="shared" si="15"/>
        <v>946400</v>
      </c>
      <c r="O376" s="5">
        <f t="shared" si="16"/>
        <v>189280</v>
      </c>
      <c r="P376" s="5">
        <f t="shared" si="17"/>
        <v>757120</v>
      </c>
    </row>
    <row r="377" spans="1:16" x14ac:dyDescent="0.25">
      <c r="A377" s="2" t="s">
        <v>492</v>
      </c>
      <c r="B377" s="3">
        <v>46198</v>
      </c>
      <c r="C377" s="2" t="s">
        <v>17</v>
      </c>
      <c r="D377" s="2" t="s">
        <v>18</v>
      </c>
      <c r="E377" s="4">
        <v>33</v>
      </c>
      <c r="F377" s="2" t="s">
        <v>19</v>
      </c>
      <c r="G377" s="2" t="s">
        <v>51</v>
      </c>
      <c r="H377" s="2" t="s">
        <v>120</v>
      </c>
      <c r="I377" s="4">
        <v>8</v>
      </c>
      <c r="J377" s="5">
        <v>30800</v>
      </c>
      <c r="K377" s="6">
        <v>0.2</v>
      </c>
      <c r="L377" s="2" t="s">
        <v>47</v>
      </c>
      <c r="M377" s="2" t="s">
        <v>37</v>
      </c>
      <c r="N377" s="5">
        <f t="shared" si="15"/>
        <v>246400</v>
      </c>
      <c r="O377" s="5">
        <f t="shared" si="16"/>
        <v>49280</v>
      </c>
      <c r="P377" s="5">
        <f t="shared" si="17"/>
        <v>197120</v>
      </c>
    </row>
    <row r="378" spans="1:16" x14ac:dyDescent="0.25">
      <c r="A378" s="2" t="s">
        <v>493</v>
      </c>
      <c r="B378" s="3">
        <v>45933</v>
      </c>
      <c r="C378" s="2" t="s">
        <v>110</v>
      </c>
      <c r="D378" s="2" t="s">
        <v>18</v>
      </c>
      <c r="E378" s="4">
        <v>65</v>
      </c>
      <c r="F378" s="2" t="s">
        <v>34</v>
      </c>
      <c r="G378" s="2" t="s">
        <v>45</v>
      </c>
      <c r="H378" s="2" t="s">
        <v>187</v>
      </c>
      <c r="I378" s="4">
        <v>7</v>
      </c>
      <c r="J378" s="5">
        <v>63600</v>
      </c>
      <c r="K378" s="6">
        <v>0</v>
      </c>
      <c r="L378" s="2" t="s">
        <v>22</v>
      </c>
      <c r="M378" s="2" t="s">
        <v>30</v>
      </c>
      <c r="N378" s="5">
        <f t="shared" si="15"/>
        <v>445200</v>
      </c>
      <c r="O378" s="5">
        <f t="shared" si="16"/>
        <v>0</v>
      </c>
      <c r="P378" s="5">
        <f t="shared" si="17"/>
        <v>445200</v>
      </c>
    </row>
    <row r="379" spans="1:16" x14ac:dyDescent="0.25">
      <c r="A379" s="2" t="s">
        <v>494</v>
      </c>
      <c r="B379" s="3">
        <v>45959</v>
      </c>
      <c r="C379" s="2" t="s">
        <v>165</v>
      </c>
      <c r="D379" s="2" t="s">
        <v>33</v>
      </c>
      <c r="E379" s="4">
        <v>59</v>
      </c>
      <c r="F379" s="2" t="s">
        <v>26</v>
      </c>
      <c r="G379" s="2" t="s">
        <v>35</v>
      </c>
      <c r="H379" s="2" t="s">
        <v>36</v>
      </c>
      <c r="I379" s="4">
        <v>7</v>
      </c>
      <c r="J379" s="5">
        <v>3600</v>
      </c>
      <c r="K379" s="6">
        <v>0.2</v>
      </c>
      <c r="L379" s="2" t="s">
        <v>22</v>
      </c>
      <c r="M379" s="2" t="s">
        <v>56</v>
      </c>
      <c r="N379" s="5">
        <f t="shared" si="15"/>
        <v>25200</v>
      </c>
      <c r="O379" s="5">
        <f t="shared" si="16"/>
        <v>5040</v>
      </c>
      <c r="P379" s="5">
        <f t="shared" si="17"/>
        <v>20160</v>
      </c>
    </row>
    <row r="380" spans="1:16" x14ac:dyDescent="0.25">
      <c r="A380" s="2" t="s">
        <v>495</v>
      </c>
      <c r="B380" s="3">
        <v>46092</v>
      </c>
      <c r="C380" s="2" t="s">
        <v>161</v>
      </c>
      <c r="D380" s="2" t="s">
        <v>18</v>
      </c>
      <c r="E380" s="4">
        <v>59</v>
      </c>
      <c r="F380" s="2" t="s">
        <v>26</v>
      </c>
      <c r="G380" s="2" t="s">
        <v>65</v>
      </c>
      <c r="H380" s="2" t="s">
        <v>66</v>
      </c>
      <c r="I380" s="4">
        <v>5</v>
      </c>
      <c r="J380" s="5">
        <v>3400</v>
      </c>
      <c r="K380" s="6">
        <v>0.1</v>
      </c>
      <c r="L380" s="2" t="s">
        <v>29</v>
      </c>
      <c r="M380" s="2" t="s">
        <v>68</v>
      </c>
      <c r="N380" s="5">
        <f t="shared" si="15"/>
        <v>17000</v>
      </c>
      <c r="O380" s="5">
        <f t="shared" si="16"/>
        <v>1700</v>
      </c>
      <c r="P380" s="5">
        <f t="shared" si="17"/>
        <v>15300</v>
      </c>
    </row>
    <row r="381" spans="1:16" x14ac:dyDescent="0.25">
      <c r="A381" s="2" t="s">
        <v>496</v>
      </c>
      <c r="B381" s="3">
        <v>46066</v>
      </c>
      <c r="C381" s="2" t="s">
        <v>137</v>
      </c>
      <c r="D381" s="2" t="s">
        <v>33</v>
      </c>
      <c r="E381" s="4">
        <v>40</v>
      </c>
      <c r="F381" s="2" t="s">
        <v>100</v>
      </c>
      <c r="G381" s="2" t="s">
        <v>20</v>
      </c>
      <c r="H381" s="2" t="s">
        <v>21</v>
      </c>
      <c r="I381" s="4">
        <v>5</v>
      </c>
      <c r="J381" s="5">
        <v>2500</v>
      </c>
      <c r="K381" s="6">
        <v>0.2</v>
      </c>
      <c r="L381" s="2" t="s">
        <v>29</v>
      </c>
      <c r="M381" s="2" t="s">
        <v>112</v>
      </c>
      <c r="N381" s="5">
        <f t="shared" si="15"/>
        <v>12500</v>
      </c>
      <c r="O381" s="5">
        <f t="shared" si="16"/>
        <v>2500</v>
      </c>
      <c r="P381" s="5">
        <f t="shared" si="17"/>
        <v>10000</v>
      </c>
    </row>
    <row r="382" spans="1:16" x14ac:dyDescent="0.25">
      <c r="A382" s="2" t="s">
        <v>497</v>
      </c>
      <c r="B382" s="3">
        <v>46149</v>
      </c>
      <c r="C382" s="2" t="s">
        <v>64</v>
      </c>
      <c r="D382" s="2" t="s">
        <v>33</v>
      </c>
      <c r="E382" s="4">
        <v>18</v>
      </c>
      <c r="F382" s="2" t="s">
        <v>71</v>
      </c>
      <c r="G382" s="2" t="s">
        <v>35</v>
      </c>
      <c r="H382" s="2" t="s">
        <v>74</v>
      </c>
      <c r="I382" s="4">
        <v>10</v>
      </c>
      <c r="J382" s="5">
        <v>4300</v>
      </c>
      <c r="K382" s="6">
        <v>0.1</v>
      </c>
      <c r="L382" s="2" t="s">
        <v>47</v>
      </c>
      <c r="M382" s="2" t="s">
        <v>48</v>
      </c>
      <c r="N382" s="5">
        <f t="shared" si="15"/>
        <v>43000</v>
      </c>
      <c r="O382" s="5">
        <f t="shared" si="16"/>
        <v>4300</v>
      </c>
      <c r="P382" s="5">
        <f t="shared" si="17"/>
        <v>38700</v>
      </c>
    </row>
    <row r="383" spans="1:16" x14ac:dyDescent="0.25">
      <c r="A383" s="2" t="s">
        <v>498</v>
      </c>
      <c r="B383" s="3">
        <v>46096</v>
      </c>
      <c r="C383" s="2" t="s">
        <v>272</v>
      </c>
      <c r="D383" s="2" t="s">
        <v>18</v>
      </c>
      <c r="E383" s="4">
        <v>39</v>
      </c>
      <c r="F383" s="2" t="s">
        <v>19</v>
      </c>
      <c r="G383" s="2" t="s">
        <v>35</v>
      </c>
      <c r="H383" s="2" t="s">
        <v>74</v>
      </c>
      <c r="I383" s="4">
        <v>5</v>
      </c>
      <c r="J383" s="5">
        <v>3100</v>
      </c>
      <c r="K383" s="6">
        <v>0.1</v>
      </c>
      <c r="L383" s="2" t="s">
        <v>22</v>
      </c>
      <c r="M383" s="2" t="s">
        <v>94</v>
      </c>
      <c r="N383" s="5">
        <f t="shared" si="15"/>
        <v>15500</v>
      </c>
      <c r="O383" s="5">
        <f t="shared" si="16"/>
        <v>1550</v>
      </c>
      <c r="P383" s="5">
        <f t="shared" si="17"/>
        <v>13950</v>
      </c>
    </row>
    <row r="384" spans="1:16" x14ac:dyDescent="0.25">
      <c r="A384" s="2" t="s">
        <v>499</v>
      </c>
      <c r="B384" s="3">
        <v>46114</v>
      </c>
      <c r="C384" s="2" t="s">
        <v>25</v>
      </c>
      <c r="D384" s="2" t="s">
        <v>18</v>
      </c>
      <c r="E384" s="4">
        <v>33</v>
      </c>
      <c r="F384" s="2" t="s">
        <v>40</v>
      </c>
      <c r="G384" s="2" t="s">
        <v>65</v>
      </c>
      <c r="H384" s="2" t="s">
        <v>129</v>
      </c>
      <c r="I384" s="4">
        <v>6</v>
      </c>
      <c r="J384" s="5">
        <v>20800</v>
      </c>
      <c r="K384" s="6">
        <v>0.05</v>
      </c>
      <c r="L384" s="2" t="s">
        <v>29</v>
      </c>
      <c r="M384" s="2" t="s">
        <v>56</v>
      </c>
      <c r="N384" s="5">
        <f t="shared" si="15"/>
        <v>124800</v>
      </c>
      <c r="O384" s="5">
        <f t="shared" si="16"/>
        <v>6240</v>
      </c>
      <c r="P384" s="5">
        <f t="shared" si="17"/>
        <v>118560</v>
      </c>
    </row>
    <row r="385" spans="1:16" x14ac:dyDescent="0.25">
      <c r="A385" s="2" t="s">
        <v>500</v>
      </c>
      <c r="B385" s="3">
        <v>46185</v>
      </c>
      <c r="C385" s="2" t="s">
        <v>463</v>
      </c>
      <c r="D385" s="2" t="s">
        <v>18</v>
      </c>
      <c r="E385" s="4">
        <v>36</v>
      </c>
      <c r="F385" s="2" t="s">
        <v>19</v>
      </c>
      <c r="G385" s="2" t="s">
        <v>51</v>
      </c>
      <c r="H385" s="2" t="s">
        <v>120</v>
      </c>
      <c r="I385" s="4">
        <v>1</v>
      </c>
      <c r="J385" s="5">
        <v>37700</v>
      </c>
      <c r="K385" s="6">
        <v>7.0000000000000007E-2</v>
      </c>
      <c r="L385" s="2" t="s">
        <v>47</v>
      </c>
      <c r="M385" s="2" t="s">
        <v>60</v>
      </c>
      <c r="N385" s="5">
        <f t="shared" si="15"/>
        <v>37700</v>
      </c>
      <c r="O385" s="5">
        <f t="shared" si="16"/>
        <v>2639.0000000000005</v>
      </c>
      <c r="P385" s="5">
        <f t="shared" si="17"/>
        <v>35061</v>
      </c>
    </row>
    <row r="386" spans="1:16" x14ac:dyDescent="0.25">
      <c r="A386" s="2" t="s">
        <v>501</v>
      </c>
      <c r="B386" s="3">
        <v>46201</v>
      </c>
      <c r="C386" s="2" t="s">
        <v>62</v>
      </c>
      <c r="D386" s="2" t="s">
        <v>18</v>
      </c>
      <c r="E386" s="4">
        <v>58</v>
      </c>
      <c r="F386" s="2" t="s">
        <v>100</v>
      </c>
      <c r="G386" s="2" t="s">
        <v>35</v>
      </c>
      <c r="H386" s="2" t="s">
        <v>74</v>
      </c>
      <c r="I386" s="4">
        <v>5</v>
      </c>
      <c r="J386" s="5">
        <v>4100</v>
      </c>
      <c r="K386" s="6">
        <v>0.05</v>
      </c>
      <c r="L386" s="2" t="s">
        <v>29</v>
      </c>
      <c r="M386" s="2" t="s">
        <v>42</v>
      </c>
      <c r="N386" s="5">
        <f t="shared" ref="N386:N449" si="18">I386*J386</f>
        <v>20500</v>
      </c>
      <c r="O386" s="5">
        <f t="shared" ref="O386:O449" si="19">N386*K386</f>
        <v>1025</v>
      </c>
      <c r="P386" s="5">
        <f t="shared" ref="P386:P449" si="20">N386-O386</f>
        <v>19475</v>
      </c>
    </row>
    <row r="387" spans="1:16" x14ac:dyDescent="0.25">
      <c r="A387" s="2" t="s">
        <v>502</v>
      </c>
      <c r="B387" s="3">
        <v>45942</v>
      </c>
      <c r="C387" s="2" t="s">
        <v>132</v>
      </c>
      <c r="D387" s="2" t="s">
        <v>33</v>
      </c>
      <c r="E387" s="4">
        <v>24</v>
      </c>
      <c r="F387" s="2" t="s">
        <v>100</v>
      </c>
      <c r="G387" s="2" t="s">
        <v>27</v>
      </c>
      <c r="H387" s="2" t="s">
        <v>81</v>
      </c>
      <c r="I387" s="4">
        <v>6</v>
      </c>
      <c r="J387" s="5">
        <v>94000</v>
      </c>
      <c r="K387" s="6">
        <v>0.02</v>
      </c>
      <c r="L387" s="2" t="s">
        <v>22</v>
      </c>
      <c r="M387" s="2" t="s">
        <v>37</v>
      </c>
      <c r="N387" s="5">
        <f t="shared" si="18"/>
        <v>564000</v>
      </c>
      <c r="O387" s="5">
        <f t="shared" si="19"/>
        <v>11280</v>
      </c>
      <c r="P387" s="5">
        <f t="shared" si="20"/>
        <v>552720</v>
      </c>
    </row>
    <row r="388" spans="1:16" x14ac:dyDescent="0.25">
      <c r="A388" s="2" t="s">
        <v>503</v>
      </c>
      <c r="B388" s="3">
        <v>45964</v>
      </c>
      <c r="C388" s="2" t="s">
        <v>73</v>
      </c>
      <c r="D388" s="2" t="s">
        <v>18</v>
      </c>
      <c r="E388" s="4">
        <v>37</v>
      </c>
      <c r="F388" s="2" t="s">
        <v>100</v>
      </c>
      <c r="G388" s="2" t="s">
        <v>20</v>
      </c>
      <c r="H388" s="2" t="s">
        <v>86</v>
      </c>
      <c r="I388" s="4">
        <v>10</v>
      </c>
      <c r="J388" s="5">
        <v>10100</v>
      </c>
      <c r="K388" s="6">
        <v>0.1</v>
      </c>
      <c r="L388" s="2" t="s">
        <v>47</v>
      </c>
      <c r="M388" s="2" t="s">
        <v>48</v>
      </c>
      <c r="N388" s="5">
        <f t="shared" si="18"/>
        <v>101000</v>
      </c>
      <c r="O388" s="5">
        <f t="shared" si="19"/>
        <v>10100</v>
      </c>
      <c r="P388" s="5">
        <f t="shared" si="20"/>
        <v>90900</v>
      </c>
    </row>
    <row r="389" spans="1:16" x14ac:dyDescent="0.25">
      <c r="A389" s="2" t="s">
        <v>504</v>
      </c>
      <c r="B389" s="3">
        <v>46090</v>
      </c>
      <c r="C389" s="2" t="s">
        <v>76</v>
      </c>
      <c r="D389" s="2" t="s">
        <v>33</v>
      </c>
      <c r="E389" s="4">
        <v>58</v>
      </c>
      <c r="F389" s="2" t="s">
        <v>71</v>
      </c>
      <c r="G389" s="2" t="s">
        <v>65</v>
      </c>
      <c r="H389" s="2" t="s">
        <v>66</v>
      </c>
      <c r="I389" s="4">
        <v>4</v>
      </c>
      <c r="J389" s="5">
        <v>4400</v>
      </c>
      <c r="K389" s="6">
        <v>0.2</v>
      </c>
      <c r="L389" s="2" t="s">
        <v>22</v>
      </c>
      <c r="M389" s="2" t="s">
        <v>112</v>
      </c>
      <c r="N389" s="5">
        <f t="shared" si="18"/>
        <v>17600</v>
      </c>
      <c r="O389" s="5">
        <f t="shared" si="19"/>
        <v>3520</v>
      </c>
      <c r="P389" s="5">
        <f t="shared" si="20"/>
        <v>14080</v>
      </c>
    </row>
    <row r="390" spans="1:16" x14ac:dyDescent="0.25">
      <c r="A390" s="2" t="s">
        <v>505</v>
      </c>
      <c r="B390" s="3">
        <v>46121</v>
      </c>
      <c r="C390" s="2" t="s">
        <v>157</v>
      </c>
      <c r="D390" s="2" t="s">
        <v>18</v>
      </c>
      <c r="E390" s="4">
        <v>44</v>
      </c>
      <c r="F390" s="2" t="s">
        <v>40</v>
      </c>
      <c r="G390" s="2" t="s">
        <v>27</v>
      </c>
      <c r="H390" s="2" t="s">
        <v>41</v>
      </c>
      <c r="I390" s="4">
        <v>6</v>
      </c>
      <c r="J390" s="5">
        <v>116300</v>
      </c>
      <c r="K390" s="6">
        <v>0.15</v>
      </c>
      <c r="L390" s="2" t="s">
        <v>29</v>
      </c>
      <c r="M390" s="2" t="s">
        <v>23</v>
      </c>
      <c r="N390" s="5">
        <f t="shared" si="18"/>
        <v>697800</v>
      </c>
      <c r="O390" s="5">
        <f t="shared" si="19"/>
        <v>104670</v>
      </c>
      <c r="P390" s="5">
        <f t="shared" si="20"/>
        <v>593130</v>
      </c>
    </row>
    <row r="391" spans="1:16" x14ac:dyDescent="0.25">
      <c r="A391" s="2" t="s">
        <v>506</v>
      </c>
      <c r="B391" s="3">
        <v>45923</v>
      </c>
      <c r="C391" s="2" t="s">
        <v>237</v>
      </c>
      <c r="D391" s="2" t="s">
        <v>18</v>
      </c>
      <c r="E391" s="4">
        <v>63</v>
      </c>
      <c r="F391" s="2" t="s">
        <v>26</v>
      </c>
      <c r="G391" s="2" t="s">
        <v>45</v>
      </c>
      <c r="H391" s="2" t="s">
        <v>59</v>
      </c>
      <c r="I391" s="4">
        <v>3</v>
      </c>
      <c r="J391" s="5">
        <v>14700</v>
      </c>
      <c r="K391" s="6">
        <v>0.12</v>
      </c>
      <c r="L391" s="2" t="s">
        <v>29</v>
      </c>
      <c r="M391" s="2" t="s">
        <v>56</v>
      </c>
      <c r="N391" s="5">
        <f t="shared" si="18"/>
        <v>44100</v>
      </c>
      <c r="O391" s="5">
        <f t="shared" si="19"/>
        <v>5292</v>
      </c>
      <c r="P391" s="5">
        <f t="shared" si="20"/>
        <v>38808</v>
      </c>
    </row>
    <row r="392" spans="1:16" x14ac:dyDescent="0.25">
      <c r="A392" s="2" t="s">
        <v>507</v>
      </c>
      <c r="B392" s="3">
        <v>45852</v>
      </c>
      <c r="C392" s="2" t="s">
        <v>245</v>
      </c>
      <c r="D392" s="2" t="s">
        <v>33</v>
      </c>
      <c r="E392" s="4">
        <v>35</v>
      </c>
      <c r="F392" s="2" t="s">
        <v>26</v>
      </c>
      <c r="G392" s="2" t="s">
        <v>27</v>
      </c>
      <c r="H392" s="2" t="s">
        <v>41</v>
      </c>
      <c r="I392" s="4">
        <v>2</v>
      </c>
      <c r="J392" s="5">
        <v>154200</v>
      </c>
      <c r="K392" s="6">
        <v>0.05</v>
      </c>
      <c r="L392" s="2" t="s">
        <v>29</v>
      </c>
      <c r="M392" s="2" t="s">
        <v>112</v>
      </c>
      <c r="N392" s="5">
        <f t="shared" si="18"/>
        <v>308400</v>
      </c>
      <c r="O392" s="5">
        <f t="shared" si="19"/>
        <v>15420</v>
      </c>
      <c r="P392" s="5">
        <f t="shared" si="20"/>
        <v>292980</v>
      </c>
    </row>
    <row r="393" spans="1:16" x14ac:dyDescent="0.25">
      <c r="A393" s="2" t="s">
        <v>508</v>
      </c>
      <c r="B393" s="3">
        <v>46174</v>
      </c>
      <c r="C393" s="2" t="s">
        <v>107</v>
      </c>
      <c r="D393" s="2" t="s">
        <v>33</v>
      </c>
      <c r="E393" s="4">
        <v>43</v>
      </c>
      <c r="F393" s="2" t="s">
        <v>100</v>
      </c>
      <c r="G393" s="2" t="s">
        <v>51</v>
      </c>
      <c r="H393" s="2" t="s">
        <v>120</v>
      </c>
      <c r="I393" s="4">
        <v>1</v>
      </c>
      <c r="J393" s="5">
        <v>25200</v>
      </c>
      <c r="K393" s="6">
        <v>0.2</v>
      </c>
      <c r="L393" s="2" t="s">
        <v>22</v>
      </c>
      <c r="M393" s="2" t="s">
        <v>37</v>
      </c>
      <c r="N393" s="5">
        <f t="shared" si="18"/>
        <v>25200</v>
      </c>
      <c r="O393" s="5">
        <f t="shared" si="19"/>
        <v>5040</v>
      </c>
      <c r="P393" s="5">
        <f t="shared" si="20"/>
        <v>20160</v>
      </c>
    </row>
    <row r="394" spans="1:16" x14ac:dyDescent="0.25">
      <c r="A394" s="2" t="s">
        <v>509</v>
      </c>
      <c r="B394" s="3">
        <v>45857</v>
      </c>
      <c r="C394" s="2" t="s">
        <v>237</v>
      </c>
      <c r="D394" s="2" t="s">
        <v>18</v>
      </c>
      <c r="E394" s="4">
        <v>51</v>
      </c>
      <c r="F394" s="2" t="s">
        <v>26</v>
      </c>
      <c r="G394" s="2" t="s">
        <v>45</v>
      </c>
      <c r="H394" s="2" t="s">
        <v>46</v>
      </c>
      <c r="I394" s="4">
        <v>4</v>
      </c>
      <c r="J394" s="5">
        <v>177600</v>
      </c>
      <c r="K394" s="6">
        <v>0.12</v>
      </c>
      <c r="L394" s="2" t="s">
        <v>47</v>
      </c>
      <c r="M394" s="2" t="s">
        <v>94</v>
      </c>
      <c r="N394" s="5">
        <f t="shared" si="18"/>
        <v>710400</v>
      </c>
      <c r="O394" s="5">
        <f t="shared" si="19"/>
        <v>85248</v>
      </c>
      <c r="P394" s="5">
        <f t="shared" si="20"/>
        <v>625152</v>
      </c>
    </row>
    <row r="395" spans="1:16" x14ac:dyDescent="0.25">
      <c r="A395" s="2" t="s">
        <v>510</v>
      </c>
      <c r="B395" s="3">
        <v>45902</v>
      </c>
      <c r="C395" s="2" t="s">
        <v>137</v>
      </c>
      <c r="D395" s="2" t="s">
        <v>33</v>
      </c>
      <c r="E395" s="4">
        <v>50</v>
      </c>
      <c r="F395" s="2" t="s">
        <v>71</v>
      </c>
      <c r="G395" s="2" t="s">
        <v>20</v>
      </c>
      <c r="H395" s="2" t="s">
        <v>21</v>
      </c>
      <c r="I395" s="4">
        <v>1</v>
      </c>
      <c r="J395" s="5">
        <v>1600</v>
      </c>
      <c r="K395" s="6">
        <v>0.1</v>
      </c>
      <c r="L395" s="2" t="s">
        <v>47</v>
      </c>
      <c r="M395" s="2" t="s">
        <v>23</v>
      </c>
      <c r="N395" s="5">
        <f t="shared" si="18"/>
        <v>1600</v>
      </c>
      <c r="O395" s="5">
        <f t="shared" si="19"/>
        <v>160</v>
      </c>
      <c r="P395" s="5">
        <f t="shared" si="20"/>
        <v>1440</v>
      </c>
    </row>
    <row r="396" spans="1:16" x14ac:dyDescent="0.25">
      <c r="A396" s="2" t="s">
        <v>511</v>
      </c>
      <c r="B396" s="3">
        <v>46116</v>
      </c>
      <c r="C396" s="2" t="s">
        <v>128</v>
      </c>
      <c r="D396" s="2" t="s">
        <v>33</v>
      </c>
      <c r="E396" s="4">
        <v>51</v>
      </c>
      <c r="F396" s="2" t="s">
        <v>19</v>
      </c>
      <c r="G396" s="2" t="s">
        <v>51</v>
      </c>
      <c r="H396" s="2" t="s">
        <v>52</v>
      </c>
      <c r="I396" s="4">
        <v>8</v>
      </c>
      <c r="J396" s="5">
        <v>179800</v>
      </c>
      <c r="K396" s="6">
        <v>0.12</v>
      </c>
      <c r="L396" s="2" t="s">
        <v>22</v>
      </c>
      <c r="M396" s="2" t="s">
        <v>94</v>
      </c>
      <c r="N396" s="5">
        <f t="shared" si="18"/>
        <v>1438400</v>
      </c>
      <c r="O396" s="5">
        <f t="shared" si="19"/>
        <v>172608</v>
      </c>
      <c r="P396" s="5">
        <f t="shared" si="20"/>
        <v>1265792</v>
      </c>
    </row>
    <row r="397" spans="1:16" x14ac:dyDescent="0.25">
      <c r="A397" s="2" t="s">
        <v>512</v>
      </c>
      <c r="B397" s="3">
        <v>46056</v>
      </c>
      <c r="C397" s="2" t="s">
        <v>17</v>
      </c>
      <c r="D397" s="2" t="s">
        <v>18</v>
      </c>
      <c r="E397" s="4">
        <v>32</v>
      </c>
      <c r="F397" s="2" t="s">
        <v>26</v>
      </c>
      <c r="G397" s="2" t="s">
        <v>35</v>
      </c>
      <c r="H397" s="2" t="s">
        <v>36</v>
      </c>
      <c r="I397" s="4">
        <v>1</v>
      </c>
      <c r="J397" s="5">
        <v>3400</v>
      </c>
      <c r="K397" s="6">
        <v>0.2</v>
      </c>
      <c r="L397" s="2" t="s">
        <v>22</v>
      </c>
      <c r="M397" s="2" t="s">
        <v>48</v>
      </c>
      <c r="N397" s="5">
        <f t="shared" si="18"/>
        <v>3400</v>
      </c>
      <c r="O397" s="5">
        <f t="shared" si="19"/>
        <v>680</v>
      </c>
      <c r="P397" s="5">
        <f t="shared" si="20"/>
        <v>2720</v>
      </c>
    </row>
    <row r="398" spans="1:16" x14ac:dyDescent="0.25">
      <c r="A398" s="2" t="s">
        <v>513</v>
      </c>
      <c r="B398" s="3">
        <v>46037</v>
      </c>
      <c r="C398" s="2" t="s">
        <v>182</v>
      </c>
      <c r="D398" s="2" t="s">
        <v>18</v>
      </c>
      <c r="E398" s="4">
        <v>59</v>
      </c>
      <c r="F398" s="2" t="s">
        <v>40</v>
      </c>
      <c r="G398" s="2" t="s">
        <v>51</v>
      </c>
      <c r="H398" s="2" t="s">
        <v>92</v>
      </c>
      <c r="I398" s="4">
        <v>9</v>
      </c>
      <c r="J398" s="5">
        <v>27600</v>
      </c>
      <c r="K398" s="6">
        <v>0</v>
      </c>
      <c r="L398" s="2" t="s">
        <v>29</v>
      </c>
      <c r="M398" s="2" t="s">
        <v>56</v>
      </c>
      <c r="N398" s="5">
        <f t="shared" si="18"/>
        <v>248400</v>
      </c>
      <c r="O398" s="5">
        <f t="shared" si="19"/>
        <v>0</v>
      </c>
      <c r="P398" s="5">
        <f t="shared" si="20"/>
        <v>248400</v>
      </c>
    </row>
    <row r="399" spans="1:16" x14ac:dyDescent="0.25">
      <c r="A399" s="2" t="s">
        <v>514</v>
      </c>
      <c r="B399" s="3">
        <v>46188</v>
      </c>
      <c r="C399" s="2" t="s">
        <v>64</v>
      </c>
      <c r="D399" s="2" t="s">
        <v>33</v>
      </c>
      <c r="E399" s="4">
        <v>59</v>
      </c>
      <c r="F399" s="2" t="s">
        <v>40</v>
      </c>
      <c r="G399" s="2" t="s">
        <v>45</v>
      </c>
      <c r="H399" s="2" t="s">
        <v>46</v>
      </c>
      <c r="I399" s="4">
        <v>8</v>
      </c>
      <c r="J399" s="5">
        <v>199600</v>
      </c>
      <c r="K399" s="6">
        <v>0.15</v>
      </c>
      <c r="L399" s="2" t="s">
        <v>22</v>
      </c>
      <c r="M399" s="2" t="s">
        <v>42</v>
      </c>
      <c r="N399" s="5">
        <f t="shared" si="18"/>
        <v>1596800</v>
      </c>
      <c r="O399" s="5">
        <f t="shared" si="19"/>
        <v>239520</v>
      </c>
      <c r="P399" s="5">
        <f t="shared" si="20"/>
        <v>1357280</v>
      </c>
    </row>
    <row r="400" spans="1:16" x14ac:dyDescent="0.25">
      <c r="A400" s="2" t="s">
        <v>515</v>
      </c>
      <c r="B400" s="3">
        <v>45979</v>
      </c>
      <c r="C400" s="2" t="s">
        <v>155</v>
      </c>
      <c r="D400" s="2" t="s">
        <v>18</v>
      </c>
      <c r="E400" s="4">
        <v>62</v>
      </c>
      <c r="F400" s="2" t="s">
        <v>26</v>
      </c>
      <c r="G400" s="2" t="s">
        <v>27</v>
      </c>
      <c r="H400" s="2" t="s">
        <v>77</v>
      </c>
      <c r="I400" s="4">
        <v>7</v>
      </c>
      <c r="J400" s="5">
        <v>34900</v>
      </c>
      <c r="K400" s="6">
        <v>0.02</v>
      </c>
      <c r="L400" s="2" t="s">
        <v>29</v>
      </c>
      <c r="M400" s="2" t="s">
        <v>42</v>
      </c>
      <c r="N400" s="5">
        <f t="shared" si="18"/>
        <v>244300</v>
      </c>
      <c r="O400" s="5">
        <f t="shared" si="19"/>
        <v>4886</v>
      </c>
      <c r="P400" s="5">
        <f t="shared" si="20"/>
        <v>239414</v>
      </c>
    </row>
    <row r="401" spans="1:16" x14ac:dyDescent="0.25">
      <c r="A401" s="2" t="s">
        <v>516</v>
      </c>
      <c r="B401" s="3">
        <v>45988</v>
      </c>
      <c r="C401" s="2" t="s">
        <v>229</v>
      </c>
      <c r="D401" s="2" t="s">
        <v>18</v>
      </c>
      <c r="E401" s="4">
        <v>56</v>
      </c>
      <c r="F401" s="2" t="s">
        <v>34</v>
      </c>
      <c r="G401" s="2" t="s">
        <v>27</v>
      </c>
      <c r="H401" s="2" t="s">
        <v>28</v>
      </c>
      <c r="I401" s="4">
        <v>2</v>
      </c>
      <c r="J401" s="5">
        <v>57200</v>
      </c>
      <c r="K401" s="6">
        <v>0.2</v>
      </c>
      <c r="L401" s="2" t="s">
        <v>29</v>
      </c>
      <c r="M401" s="2" t="s">
        <v>30</v>
      </c>
      <c r="N401" s="5">
        <f t="shared" si="18"/>
        <v>114400</v>
      </c>
      <c r="O401" s="5">
        <f t="shared" si="19"/>
        <v>22880</v>
      </c>
      <c r="P401" s="5">
        <f t="shared" si="20"/>
        <v>91520</v>
      </c>
    </row>
    <row r="402" spans="1:16" x14ac:dyDescent="0.25">
      <c r="A402" s="2" t="s">
        <v>517</v>
      </c>
      <c r="B402" s="3">
        <v>45910</v>
      </c>
      <c r="C402" s="2" t="s">
        <v>132</v>
      </c>
      <c r="D402" s="2" t="s">
        <v>33</v>
      </c>
      <c r="E402" s="4">
        <v>25</v>
      </c>
      <c r="F402" s="2" t="s">
        <v>40</v>
      </c>
      <c r="G402" s="2" t="s">
        <v>51</v>
      </c>
      <c r="H402" s="2" t="s">
        <v>52</v>
      </c>
      <c r="I402" s="4">
        <v>4</v>
      </c>
      <c r="J402" s="5">
        <v>249600</v>
      </c>
      <c r="K402" s="6">
        <v>0.1</v>
      </c>
      <c r="L402" s="2" t="s">
        <v>29</v>
      </c>
      <c r="M402" s="2" t="s">
        <v>60</v>
      </c>
      <c r="N402" s="5">
        <f t="shared" si="18"/>
        <v>998400</v>
      </c>
      <c r="O402" s="5">
        <f t="shared" si="19"/>
        <v>99840</v>
      </c>
      <c r="P402" s="5">
        <f t="shared" si="20"/>
        <v>898560</v>
      </c>
    </row>
    <row r="403" spans="1:16" x14ac:dyDescent="0.25">
      <c r="A403" s="2" t="s">
        <v>518</v>
      </c>
      <c r="B403" s="3">
        <v>46033</v>
      </c>
      <c r="C403" s="2" t="s">
        <v>182</v>
      </c>
      <c r="D403" s="2" t="s">
        <v>18</v>
      </c>
      <c r="E403" s="4">
        <v>44</v>
      </c>
      <c r="F403" s="2" t="s">
        <v>19</v>
      </c>
      <c r="G403" s="2" t="s">
        <v>27</v>
      </c>
      <c r="H403" s="2" t="s">
        <v>77</v>
      </c>
      <c r="I403" s="4">
        <v>8</v>
      </c>
      <c r="J403" s="5">
        <v>43000</v>
      </c>
      <c r="K403" s="6">
        <v>7.0000000000000007E-2</v>
      </c>
      <c r="L403" s="2" t="s">
        <v>29</v>
      </c>
      <c r="M403" s="2" t="s">
        <v>23</v>
      </c>
      <c r="N403" s="5">
        <f t="shared" si="18"/>
        <v>344000</v>
      </c>
      <c r="O403" s="5">
        <f t="shared" si="19"/>
        <v>24080.000000000004</v>
      </c>
      <c r="P403" s="5">
        <f t="shared" si="20"/>
        <v>319920</v>
      </c>
    </row>
    <row r="404" spans="1:16" x14ac:dyDescent="0.25">
      <c r="A404" s="2" t="s">
        <v>519</v>
      </c>
      <c r="B404" s="3">
        <v>46019</v>
      </c>
      <c r="C404" s="2" t="s">
        <v>50</v>
      </c>
      <c r="D404" s="2" t="s">
        <v>33</v>
      </c>
      <c r="E404" s="4">
        <v>18</v>
      </c>
      <c r="F404" s="2" t="s">
        <v>40</v>
      </c>
      <c r="G404" s="2" t="s">
        <v>35</v>
      </c>
      <c r="H404" s="2" t="s">
        <v>125</v>
      </c>
      <c r="I404" s="4">
        <v>2</v>
      </c>
      <c r="J404" s="5">
        <v>2400</v>
      </c>
      <c r="K404" s="6">
        <v>0.18</v>
      </c>
      <c r="L404" s="2" t="s">
        <v>22</v>
      </c>
      <c r="M404" s="2" t="s">
        <v>48</v>
      </c>
      <c r="N404" s="5">
        <f t="shared" si="18"/>
        <v>4800</v>
      </c>
      <c r="O404" s="5">
        <f t="shared" si="19"/>
        <v>864</v>
      </c>
      <c r="P404" s="5">
        <f t="shared" si="20"/>
        <v>3936</v>
      </c>
    </row>
    <row r="405" spans="1:16" x14ac:dyDescent="0.25">
      <c r="A405" s="2" t="s">
        <v>520</v>
      </c>
      <c r="B405" s="3">
        <v>46111</v>
      </c>
      <c r="C405" s="2" t="s">
        <v>272</v>
      </c>
      <c r="D405" s="2" t="s">
        <v>18</v>
      </c>
      <c r="E405" s="4">
        <v>64</v>
      </c>
      <c r="F405" s="2" t="s">
        <v>34</v>
      </c>
      <c r="G405" s="2" t="s">
        <v>45</v>
      </c>
      <c r="H405" s="2" t="s">
        <v>187</v>
      </c>
      <c r="I405" s="4">
        <v>4</v>
      </c>
      <c r="J405" s="5">
        <v>144500</v>
      </c>
      <c r="K405" s="6">
        <v>0.18</v>
      </c>
      <c r="L405" s="2" t="s">
        <v>47</v>
      </c>
      <c r="M405" s="2" t="s">
        <v>68</v>
      </c>
      <c r="N405" s="5">
        <f t="shared" si="18"/>
        <v>578000</v>
      </c>
      <c r="O405" s="5">
        <f t="shared" si="19"/>
        <v>104040</v>
      </c>
      <c r="P405" s="5">
        <f t="shared" si="20"/>
        <v>473960</v>
      </c>
    </row>
    <row r="406" spans="1:16" x14ac:dyDescent="0.25">
      <c r="A406" s="2" t="s">
        <v>521</v>
      </c>
      <c r="B406" s="3">
        <v>46087</v>
      </c>
      <c r="C406" s="2" t="s">
        <v>76</v>
      </c>
      <c r="D406" s="2" t="s">
        <v>33</v>
      </c>
      <c r="E406" s="4">
        <v>24</v>
      </c>
      <c r="F406" s="2" t="s">
        <v>26</v>
      </c>
      <c r="G406" s="2" t="s">
        <v>45</v>
      </c>
      <c r="H406" s="2" t="s">
        <v>187</v>
      </c>
      <c r="I406" s="4">
        <v>6</v>
      </c>
      <c r="J406" s="5">
        <v>107200</v>
      </c>
      <c r="K406" s="6">
        <v>0.15</v>
      </c>
      <c r="L406" s="2" t="s">
        <v>29</v>
      </c>
      <c r="M406" s="2" t="s">
        <v>48</v>
      </c>
      <c r="N406" s="5">
        <f t="shared" si="18"/>
        <v>643200</v>
      </c>
      <c r="O406" s="5">
        <f t="shared" si="19"/>
        <v>96480</v>
      </c>
      <c r="P406" s="5">
        <f t="shared" si="20"/>
        <v>546720</v>
      </c>
    </row>
    <row r="407" spans="1:16" x14ac:dyDescent="0.25">
      <c r="A407" s="2" t="s">
        <v>522</v>
      </c>
      <c r="B407" s="3">
        <v>45898</v>
      </c>
      <c r="C407" s="2" t="s">
        <v>25</v>
      </c>
      <c r="D407" s="2" t="s">
        <v>18</v>
      </c>
      <c r="E407" s="4">
        <v>20</v>
      </c>
      <c r="F407" s="2" t="s">
        <v>40</v>
      </c>
      <c r="G407" s="2" t="s">
        <v>27</v>
      </c>
      <c r="H407" s="2" t="s">
        <v>41</v>
      </c>
      <c r="I407" s="4">
        <v>6</v>
      </c>
      <c r="J407" s="5">
        <v>133100</v>
      </c>
      <c r="K407" s="6">
        <v>0.18</v>
      </c>
      <c r="L407" s="2" t="s">
        <v>29</v>
      </c>
      <c r="M407" s="2" t="s">
        <v>68</v>
      </c>
      <c r="N407" s="5">
        <f t="shared" si="18"/>
        <v>798600</v>
      </c>
      <c r="O407" s="5">
        <f t="shared" si="19"/>
        <v>143748</v>
      </c>
      <c r="P407" s="5">
        <f t="shared" si="20"/>
        <v>654852</v>
      </c>
    </row>
    <row r="408" spans="1:16" x14ac:dyDescent="0.25">
      <c r="A408" s="2" t="s">
        <v>523</v>
      </c>
      <c r="B408" s="3">
        <v>45897</v>
      </c>
      <c r="C408" s="2" t="s">
        <v>283</v>
      </c>
      <c r="D408" s="2" t="s">
        <v>18</v>
      </c>
      <c r="E408" s="4">
        <v>39</v>
      </c>
      <c r="F408" s="2" t="s">
        <v>26</v>
      </c>
      <c r="G408" s="2" t="s">
        <v>45</v>
      </c>
      <c r="H408" s="2" t="s">
        <v>59</v>
      </c>
      <c r="I408" s="4">
        <v>8</v>
      </c>
      <c r="J408" s="5">
        <v>15300</v>
      </c>
      <c r="K408" s="6">
        <v>0.1</v>
      </c>
      <c r="L408" s="2" t="s">
        <v>47</v>
      </c>
      <c r="M408" s="2" t="s">
        <v>23</v>
      </c>
      <c r="N408" s="5">
        <f t="shared" si="18"/>
        <v>122400</v>
      </c>
      <c r="O408" s="5">
        <f t="shared" si="19"/>
        <v>12240</v>
      </c>
      <c r="P408" s="5">
        <f t="shared" si="20"/>
        <v>110160</v>
      </c>
    </row>
    <row r="409" spans="1:16" x14ac:dyDescent="0.25">
      <c r="A409" s="2" t="s">
        <v>524</v>
      </c>
      <c r="B409" s="3">
        <v>46065</v>
      </c>
      <c r="C409" s="2" t="s">
        <v>58</v>
      </c>
      <c r="D409" s="2" t="s">
        <v>18</v>
      </c>
      <c r="E409" s="4">
        <v>28</v>
      </c>
      <c r="F409" s="2" t="s">
        <v>40</v>
      </c>
      <c r="G409" s="2" t="s">
        <v>27</v>
      </c>
      <c r="H409" s="2" t="s">
        <v>77</v>
      </c>
      <c r="I409" s="4">
        <v>3</v>
      </c>
      <c r="J409" s="5">
        <v>52700</v>
      </c>
      <c r="K409" s="6">
        <v>0.02</v>
      </c>
      <c r="L409" s="2" t="s">
        <v>47</v>
      </c>
      <c r="M409" s="2" t="s">
        <v>30</v>
      </c>
      <c r="N409" s="5">
        <f t="shared" si="18"/>
        <v>158100</v>
      </c>
      <c r="O409" s="5">
        <f t="shared" si="19"/>
        <v>3162</v>
      </c>
      <c r="P409" s="5">
        <f t="shared" si="20"/>
        <v>154938</v>
      </c>
    </row>
    <row r="410" spans="1:16" x14ac:dyDescent="0.25">
      <c r="A410" s="2" t="s">
        <v>525</v>
      </c>
      <c r="B410" s="3">
        <v>46097</v>
      </c>
      <c r="C410" s="2" t="s">
        <v>118</v>
      </c>
      <c r="D410" s="2" t="s">
        <v>33</v>
      </c>
      <c r="E410" s="4">
        <v>61</v>
      </c>
      <c r="F410" s="2" t="s">
        <v>100</v>
      </c>
      <c r="G410" s="2" t="s">
        <v>27</v>
      </c>
      <c r="H410" s="2" t="s">
        <v>28</v>
      </c>
      <c r="I410" s="4">
        <v>6</v>
      </c>
      <c r="J410" s="5">
        <v>55500</v>
      </c>
      <c r="K410" s="6">
        <v>0</v>
      </c>
      <c r="L410" s="2" t="s">
        <v>29</v>
      </c>
      <c r="M410" s="2" t="s">
        <v>94</v>
      </c>
      <c r="N410" s="5">
        <f t="shared" si="18"/>
        <v>333000</v>
      </c>
      <c r="O410" s="5">
        <f t="shared" si="19"/>
        <v>0</v>
      </c>
      <c r="P410" s="5">
        <f t="shared" si="20"/>
        <v>333000</v>
      </c>
    </row>
    <row r="411" spans="1:16" x14ac:dyDescent="0.25">
      <c r="A411" s="2" t="s">
        <v>526</v>
      </c>
      <c r="B411" s="3">
        <v>46097</v>
      </c>
      <c r="C411" s="2" t="s">
        <v>463</v>
      </c>
      <c r="D411" s="2" t="s">
        <v>18</v>
      </c>
      <c r="E411" s="4">
        <v>25</v>
      </c>
      <c r="F411" s="2" t="s">
        <v>100</v>
      </c>
      <c r="G411" s="2" t="s">
        <v>51</v>
      </c>
      <c r="H411" s="2" t="s">
        <v>111</v>
      </c>
      <c r="I411" s="4">
        <v>5</v>
      </c>
      <c r="J411" s="5">
        <v>266600</v>
      </c>
      <c r="K411" s="6">
        <v>0.12</v>
      </c>
      <c r="L411" s="2" t="s">
        <v>22</v>
      </c>
      <c r="M411" s="2" t="s">
        <v>42</v>
      </c>
      <c r="N411" s="5">
        <f t="shared" si="18"/>
        <v>1333000</v>
      </c>
      <c r="O411" s="5">
        <f t="shared" si="19"/>
        <v>159960</v>
      </c>
      <c r="P411" s="5">
        <f t="shared" si="20"/>
        <v>1173040</v>
      </c>
    </row>
    <row r="412" spans="1:16" x14ac:dyDescent="0.25">
      <c r="A412" s="2" t="s">
        <v>527</v>
      </c>
      <c r="B412" s="3">
        <v>46145</v>
      </c>
      <c r="C412" s="2" t="s">
        <v>311</v>
      </c>
      <c r="D412" s="2" t="s">
        <v>33</v>
      </c>
      <c r="E412" s="4">
        <v>54</v>
      </c>
      <c r="F412" s="2" t="s">
        <v>26</v>
      </c>
      <c r="G412" s="2" t="s">
        <v>35</v>
      </c>
      <c r="H412" s="2" t="s">
        <v>74</v>
      </c>
      <c r="I412" s="4">
        <v>9</v>
      </c>
      <c r="J412" s="5">
        <v>4100</v>
      </c>
      <c r="K412" s="6">
        <v>0.02</v>
      </c>
      <c r="L412" s="2" t="s">
        <v>47</v>
      </c>
      <c r="M412" s="2" t="s">
        <v>60</v>
      </c>
      <c r="N412" s="5">
        <f t="shared" si="18"/>
        <v>36900</v>
      </c>
      <c r="O412" s="5">
        <f t="shared" si="19"/>
        <v>738</v>
      </c>
      <c r="P412" s="5">
        <f t="shared" si="20"/>
        <v>36162</v>
      </c>
    </row>
    <row r="413" spans="1:16" x14ac:dyDescent="0.25">
      <c r="A413" s="2" t="s">
        <v>528</v>
      </c>
      <c r="B413" s="3">
        <v>46096</v>
      </c>
      <c r="C413" s="2" t="s">
        <v>85</v>
      </c>
      <c r="D413" s="2" t="s">
        <v>18</v>
      </c>
      <c r="E413" s="4">
        <v>60</v>
      </c>
      <c r="F413" s="2" t="s">
        <v>34</v>
      </c>
      <c r="G413" s="2" t="s">
        <v>35</v>
      </c>
      <c r="H413" s="2" t="s">
        <v>55</v>
      </c>
      <c r="I413" s="4">
        <v>9</v>
      </c>
      <c r="J413" s="5">
        <v>4100</v>
      </c>
      <c r="K413" s="6">
        <v>0</v>
      </c>
      <c r="L413" s="2" t="s">
        <v>22</v>
      </c>
      <c r="M413" s="2" t="s">
        <v>94</v>
      </c>
      <c r="N413" s="5">
        <f t="shared" si="18"/>
        <v>36900</v>
      </c>
      <c r="O413" s="5">
        <f t="shared" si="19"/>
        <v>0</v>
      </c>
      <c r="P413" s="5">
        <f t="shared" si="20"/>
        <v>36900</v>
      </c>
    </row>
    <row r="414" spans="1:16" x14ac:dyDescent="0.25">
      <c r="A414" s="2" t="s">
        <v>529</v>
      </c>
      <c r="B414" s="3">
        <v>46108</v>
      </c>
      <c r="C414" s="2" t="s">
        <v>155</v>
      </c>
      <c r="D414" s="2" t="s">
        <v>18</v>
      </c>
      <c r="E414" s="4">
        <v>49</v>
      </c>
      <c r="F414" s="2" t="s">
        <v>26</v>
      </c>
      <c r="G414" s="2" t="s">
        <v>45</v>
      </c>
      <c r="H414" s="2" t="s">
        <v>59</v>
      </c>
      <c r="I414" s="4">
        <v>4</v>
      </c>
      <c r="J414" s="5">
        <v>14600</v>
      </c>
      <c r="K414" s="6">
        <v>0.12</v>
      </c>
      <c r="L414" s="2" t="s">
        <v>47</v>
      </c>
      <c r="M414" s="2" t="s">
        <v>56</v>
      </c>
      <c r="N414" s="5">
        <f t="shared" si="18"/>
        <v>58400</v>
      </c>
      <c r="O414" s="5">
        <f t="shared" si="19"/>
        <v>7008</v>
      </c>
      <c r="P414" s="5">
        <f t="shared" si="20"/>
        <v>51392</v>
      </c>
    </row>
    <row r="415" spans="1:16" x14ac:dyDescent="0.25">
      <c r="A415" s="2" t="s">
        <v>530</v>
      </c>
      <c r="B415" s="3">
        <v>46109</v>
      </c>
      <c r="C415" s="2" t="s">
        <v>165</v>
      </c>
      <c r="D415" s="2" t="s">
        <v>33</v>
      </c>
      <c r="E415" s="4">
        <v>53</v>
      </c>
      <c r="F415" s="2" t="s">
        <v>34</v>
      </c>
      <c r="G415" s="2" t="s">
        <v>51</v>
      </c>
      <c r="H415" s="2" t="s">
        <v>120</v>
      </c>
      <c r="I415" s="4">
        <v>2</v>
      </c>
      <c r="J415" s="5">
        <v>32700</v>
      </c>
      <c r="K415" s="6">
        <v>0.18</v>
      </c>
      <c r="L415" s="2" t="s">
        <v>47</v>
      </c>
      <c r="M415" s="2" t="s">
        <v>30</v>
      </c>
      <c r="N415" s="5">
        <f t="shared" si="18"/>
        <v>65400</v>
      </c>
      <c r="O415" s="5">
        <f t="shared" si="19"/>
        <v>11772</v>
      </c>
      <c r="P415" s="5">
        <f t="shared" si="20"/>
        <v>53628</v>
      </c>
    </row>
    <row r="416" spans="1:16" x14ac:dyDescent="0.25">
      <c r="A416" s="2" t="s">
        <v>531</v>
      </c>
      <c r="B416" s="3">
        <v>46079</v>
      </c>
      <c r="C416" s="2" t="s">
        <v>122</v>
      </c>
      <c r="D416" s="2" t="s">
        <v>33</v>
      </c>
      <c r="E416" s="4">
        <v>49</v>
      </c>
      <c r="F416" s="2" t="s">
        <v>100</v>
      </c>
      <c r="G416" s="2" t="s">
        <v>20</v>
      </c>
      <c r="H416" s="2" t="s">
        <v>114</v>
      </c>
      <c r="I416" s="4">
        <v>1</v>
      </c>
      <c r="J416" s="5">
        <v>3500</v>
      </c>
      <c r="K416" s="6">
        <v>0.02</v>
      </c>
      <c r="L416" s="2" t="s">
        <v>47</v>
      </c>
      <c r="M416" s="2" t="s">
        <v>112</v>
      </c>
      <c r="N416" s="5">
        <f t="shared" si="18"/>
        <v>3500</v>
      </c>
      <c r="O416" s="5">
        <f t="shared" si="19"/>
        <v>70</v>
      </c>
      <c r="P416" s="5">
        <f t="shared" si="20"/>
        <v>3430</v>
      </c>
    </row>
    <row r="417" spans="1:16" x14ac:dyDescent="0.25">
      <c r="A417" s="2" t="s">
        <v>532</v>
      </c>
      <c r="B417" s="3">
        <v>45868</v>
      </c>
      <c r="C417" s="2" t="s">
        <v>168</v>
      </c>
      <c r="D417" s="2" t="s">
        <v>33</v>
      </c>
      <c r="E417" s="4">
        <v>53</v>
      </c>
      <c r="F417" s="2" t="s">
        <v>40</v>
      </c>
      <c r="G417" s="2" t="s">
        <v>45</v>
      </c>
      <c r="H417" s="2" t="s">
        <v>187</v>
      </c>
      <c r="I417" s="4">
        <v>9</v>
      </c>
      <c r="J417" s="5">
        <v>126600</v>
      </c>
      <c r="K417" s="6">
        <v>7.0000000000000007E-2</v>
      </c>
      <c r="L417" s="2" t="s">
        <v>29</v>
      </c>
      <c r="M417" s="2" t="s">
        <v>23</v>
      </c>
      <c r="N417" s="5">
        <f t="shared" si="18"/>
        <v>1139400</v>
      </c>
      <c r="O417" s="5">
        <f t="shared" si="19"/>
        <v>79758.000000000015</v>
      </c>
      <c r="P417" s="5">
        <f t="shared" si="20"/>
        <v>1059642</v>
      </c>
    </row>
    <row r="418" spans="1:16" x14ac:dyDescent="0.25">
      <c r="A418" s="2" t="s">
        <v>533</v>
      </c>
      <c r="B418" s="3">
        <v>46024</v>
      </c>
      <c r="C418" s="2" t="s">
        <v>283</v>
      </c>
      <c r="D418" s="2" t="s">
        <v>18</v>
      </c>
      <c r="E418" s="4">
        <v>21</v>
      </c>
      <c r="F418" s="2" t="s">
        <v>26</v>
      </c>
      <c r="G418" s="2" t="s">
        <v>51</v>
      </c>
      <c r="H418" s="2" t="s">
        <v>92</v>
      </c>
      <c r="I418" s="4">
        <v>10</v>
      </c>
      <c r="J418" s="5">
        <v>24200</v>
      </c>
      <c r="K418" s="6">
        <v>0.18</v>
      </c>
      <c r="L418" s="2" t="s">
        <v>29</v>
      </c>
      <c r="M418" s="2" t="s">
        <v>37</v>
      </c>
      <c r="N418" s="5">
        <f t="shared" si="18"/>
        <v>242000</v>
      </c>
      <c r="O418" s="5">
        <f t="shared" si="19"/>
        <v>43560</v>
      </c>
      <c r="P418" s="5">
        <f t="shared" si="20"/>
        <v>198440</v>
      </c>
    </row>
    <row r="419" spans="1:16" x14ac:dyDescent="0.25">
      <c r="A419" s="2" t="s">
        <v>534</v>
      </c>
      <c r="B419" s="3">
        <v>46081</v>
      </c>
      <c r="C419" s="2" t="s">
        <v>143</v>
      </c>
      <c r="D419" s="2" t="s">
        <v>33</v>
      </c>
      <c r="E419" s="4">
        <v>24</v>
      </c>
      <c r="F419" s="2" t="s">
        <v>34</v>
      </c>
      <c r="G419" s="2" t="s">
        <v>27</v>
      </c>
      <c r="H419" s="2" t="s">
        <v>77</v>
      </c>
      <c r="I419" s="4">
        <v>6</v>
      </c>
      <c r="J419" s="5">
        <v>36200</v>
      </c>
      <c r="K419" s="6">
        <v>0.1</v>
      </c>
      <c r="L419" s="2" t="s">
        <v>29</v>
      </c>
      <c r="M419" s="2" t="s">
        <v>42</v>
      </c>
      <c r="N419" s="5">
        <f t="shared" si="18"/>
        <v>217200</v>
      </c>
      <c r="O419" s="5">
        <f t="shared" si="19"/>
        <v>21720</v>
      </c>
      <c r="P419" s="5">
        <f t="shared" si="20"/>
        <v>195480</v>
      </c>
    </row>
    <row r="420" spans="1:16" x14ac:dyDescent="0.25">
      <c r="A420" s="2" t="s">
        <v>535</v>
      </c>
      <c r="B420" s="3">
        <v>46041</v>
      </c>
      <c r="C420" s="2" t="s">
        <v>70</v>
      </c>
      <c r="D420" s="2" t="s">
        <v>18</v>
      </c>
      <c r="E420" s="4">
        <v>24</v>
      </c>
      <c r="F420" s="2" t="s">
        <v>40</v>
      </c>
      <c r="G420" s="2" t="s">
        <v>27</v>
      </c>
      <c r="H420" s="2" t="s">
        <v>28</v>
      </c>
      <c r="I420" s="4">
        <v>7</v>
      </c>
      <c r="J420" s="5">
        <v>34600</v>
      </c>
      <c r="K420" s="6">
        <v>0.02</v>
      </c>
      <c r="L420" s="2" t="s">
        <v>47</v>
      </c>
      <c r="M420" s="2" t="s">
        <v>30</v>
      </c>
      <c r="N420" s="5">
        <f t="shared" si="18"/>
        <v>242200</v>
      </c>
      <c r="O420" s="5">
        <f t="shared" si="19"/>
        <v>4844</v>
      </c>
      <c r="P420" s="5">
        <f t="shared" si="20"/>
        <v>237356</v>
      </c>
    </row>
    <row r="421" spans="1:16" x14ac:dyDescent="0.25">
      <c r="A421" s="2" t="s">
        <v>536</v>
      </c>
      <c r="B421" s="3">
        <v>45950</v>
      </c>
      <c r="C421" s="2" t="s">
        <v>54</v>
      </c>
      <c r="D421" s="2" t="s">
        <v>33</v>
      </c>
      <c r="E421" s="4">
        <v>25</v>
      </c>
      <c r="F421" s="2" t="s">
        <v>100</v>
      </c>
      <c r="G421" s="2" t="s">
        <v>27</v>
      </c>
      <c r="H421" s="2" t="s">
        <v>28</v>
      </c>
      <c r="I421" s="4">
        <v>4</v>
      </c>
      <c r="J421" s="5">
        <v>57000</v>
      </c>
      <c r="K421" s="6">
        <v>0.12</v>
      </c>
      <c r="L421" s="2" t="s">
        <v>22</v>
      </c>
      <c r="M421" s="2" t="s">
        <v>112</v>
      </c>
      <c r="N421" s="5">
        <f t="shared" si="18"/>
        <v>228000</v>
      </c>
      <c r="O421" s="5">
        <f t="shared" si="19"/>
        <v>27360</v>
      </c>
      <c r="P421" s="5">
        <f t="shared" si="20"/>
        <v>200640</v>
      </c>
    </row>
    <row r="422" spans="1:16" x14ac:dyDescent="0.25">
      <c r="A422" s="2" t="s">
        <v>537</v>
      </c>
      <c r="B422" s="3">
        <v>45873</v>
      </c>
      <c r="C422" s="2" t="s">
        <v>247</v>
      </c>
      <c r="D422" s="2" t="s">
        <v>33</v>
      </c>
      <c r="E422" s="4">
        <v>61</v>
      </c>
      <c r="F422" s="2" t="s">
        <v>71</v>
      </c>
      <c r="G422" s="2" t="s">
        <v>45</v>
      </c>
      <c r="H422" s="2" t="s">
        <v>59</v>
      </c>
      <c r="I422" s="4">
        <v>10</v>
      </c>
      <c r="J422" s="5">
        <v>15700</v>
      </c>
      <c r="K422" s="6">
        <v>0.2</v>
      </c>
      <c r="L422" s="2" t="s">
        <v>22</v>
      </c>
      <c r="M422" s="2" t="s">
        <v>23</v>
      </c>
      <c r="N422" s="5">
        <f t="shared" si="18"/>
        <v>157000</v>
      </c>
      <c r="O422" s="5">
        <f t="shared" si="19"/>
        <v>31400</v>
      </c>
      <c r="P422" s="5">
        <f t="shared" si="20"/>
        <v>125600</v>
      </c>
    </row>
    <row r="423" spans="1:16" x14ac:dyDescent="0.25">
      <c r="A423" s="2" t="s">
        <v>538</v>
      </c>
      <c r="B423" s="3">
        <v>45852</v>
      </c>
      <c r="C423" s="2" t="s">
        <v>39</v>
      </c>
      <c r="D423" s="2" t="s">
        <v>33</v>
      </c>
      <c r="E423" s="4">
        <v>65</v>
      </c>
      <c r="F423" s="2" t="s">
        <v>40</v>
      </c>
      <c r="G423" s="2" t="s">
        <v>65</v>
      </c>
      <c r="H423" s="2" t="s">
        <v>129</v>
      </c>
      <c r="I423" s="4">
        <v>8</v>
      </c>
      <c r="J423" s="5">
        <v>19600</v>
      </c>
      <c r="K423" s="6">
        <v>0.2</v>
      </c>
      <c r="L423" s="2" t="s">
        <v>22</v>
      </c>
      <c r="M423" s="2" t="s">
        <v>30</v>
      </c>
      <c r="N423" s="5">
        <f t="shared" si="18"/>
        <v>156800</v>
      </c>
      <c r="O423" s="5">
        <f t="shared" si="19"/>
        <v>31360</v>
      </c>
      <c r="P423" s="5">
        <f t="shared" si="20"/>
        <v>125440</v>
      </c>
    </row>
    <row r="424" spans="1:16" x14ac:dyDescent="0.25">
      <c r="A424" s="2" t="s">
        <v>539</v>
      </c>
      <c r="B424" s="3">
        <v>45938</v>
      </c>
      <c r="C424" s="2" t="s">
        <v>311</v>
      </c>
      <c r="D424" s="2" t="s">
        <v>33</v>
      </c>
      <c r="E424" s="4">
        <v>26</v>
      </c>
      <c r="F424" s="2" t="s">
        <v>40</v>
      </c>
      <c r="G424" s="2" t="s">
        <v>51</v>
      </c>
      <c r="H424" s="2" t="s">
        <v>92</v>
      </c>
      <c r="I424" s="4">
        <v>7</v>
      </c>
      <c r="J424" s="5">
        <v>23300</v>
      </c>
      <c r="K424" s="6">
        <v>0.15</v>
      </c>
      <c r="L424" s="2" t="s">
        <v>29</v>
      </c>
      <c r="M424" s="2" t="s">
        <v>60</v>
      </c>
      <c r="N424" s="5">
        <f t="shared" si="18"/>
        <v>163100</v>
      </c>
      <c r="O424" s="5">
        <f t="shared" si="19"/>
        <v>24465</v>
      </c>
      <c r="P424" s="5">
        <f t="shared" si="20"/>
        <v>138635</v>
      </c>
    </row>
    <row r="425" spans="1:16" x14ac:dyDescent="0.25">
      <c r="A425" s="2" t="s">
        <v>540</v>
      </c>
      <c r="B425" s="3">
        <v>45990</v>
      </c>
      <c r="C425" s="2" t="s">
        <v>116</v>
      </c>
      <c r="D425" s="2" t="s">
        <v>18</v>
      </c>
      <c r="E425" s="4">
        <v>39</v>
      </c>
      <c r="F425" s="2" t="s">
        <v>19</v>
      </c>
      <c r="G425" s="2" t="s">
        <v>51</v>
      </c>
      <c r="H425" s="2" t="s">
        <v>52</v>
      </c>
      <c r="I425" s="4">
        <v>7</v>
      </c>
      <c r="J425" s="5">
        <v>126200</v>
      </c>
      <c r="K425" s="6">
        <v>0.2</v>
      </c>
      <c r="L425" s="2" t="s">
        <v>47</v>
      </c>
      <c r="M425" s="2" t="s">
        <v>42</v>
      </c>
      <c r="N425" s="5">
        <f t="shared" si="18"/>
        <v>883400</v>
      </c>
      <c r="O425" s="5">
        <f t="shared" si="19"/>
        <v>176680</v>
      </c>
      <c r="P425" s="5">
        <f t="shared" si="20"/>
        <v>706720</v>
      </c>
    </row>
    <row r="426" spans="1:16" x14ac:dyDescent="0.25">
      <c r="A426" s="2" t="s">
        <v>541</v>
      </c>
      <c r="B426" s="3">
        <v>46010</v>
      </c>
      <c r="C426" s="2" t="s">
        <v>182</v>
      </c>
      <c r="D426" s="2" t="s">
        <v>18</v>
      </c>
      <c r="E426" s="4">
        <v>65</v>
      </c>
      <c r="F426" s="2" t="s">
        <v>71</v>
      </c>
      <c r="G426" s="2" t="s">
        <v>35</v>
      </c>
      <c r="H426" s="2" t="s">
        <v>36</v>
      </c>
      <c r="I426" s="4">
        <v>4</v>
      </c>
      <c r="J426" s="5">
        <v>3400</v>
      </c>
      <c r="K426" s="6">
        <v>0.1</v>
      </c>
      <c r="L426" s="2" t="s">
        <v>29</v>
      </c>
      <c r="M426" s="2" t="s">
        <v>37</v>
      </c>
      <c r="N426" s="5">
        <f t="shared" si="18"/>
        <v>13600</v>
      </c>
      <c r="O426" s="5">
        <f t="shared" si="19"/>
        <v>1360</v>
      </c>
      <c r="P426" s="5">
        <f t="shared" si="20"/>
        <v>12240</v>
      </c>
    </row>
    <row r="427" spans="1:16" x14ac:dyDescent="0.25">
      <c r="A427" s="2" t="s">
        <v>542</v>
      </c>
      <c r="B427" s="3">
        <v>46194</v>
      </c>
      <c r="C427" s="2" t="s">
        <v>161</v>
      </c>
      <c r="D427" s="2" t="s">
        <v>18</v>
      </c>
      <c r="E427" s="4">
        <v>63</v>
      </c>
      <c r="F427" s="2" t="s">
        <v>34</v>
      </c>
      <c r="G427" s="2" t="s">
        <v>27</v>
      </c>
      <c r="H427" s="2" t="s">
        <v>81</v>
      </c>
      <c r="I427" s="4">
        <v>6</v>
      </c>
      <c r="J427" s="5">
        <v>85100</v>
      </c>
      <c r="K427" s="6">
        <v>0.2</v>
      </c>
      <c r="L427" s="2" t="s">
        <v>47</v>
      </c>
      <c r="M427" s="2" t="s">
        <v>30</v>
      </c>
      <c r="N427" s="5">
        <f t="shared" si="18"/>
        <v>510600</v>
      </c>
      <c r="O427" s="5">
        <f t="shared" si="19"/>
        <v>102120</v>
      </c>
      <c r="P427" s="5">
        <f t="shared" si="20"/>
        <v>408480</v>
      </c>
    </row>
    <row r="428" spans="1:16" x14ac:dyDescent="0.25">
      <c r="A428" s="2" t="s">
        <v>543</v>
      </c>
      <c r="B428" s="3">
        <v>46142</v>
      </c>
      <c r="C428" s="2" t="s">
        <v>80</v>
      </c>
      <c r="D428" s="2" t="s">
        <v>18</v>
      </c>
      <c r="E428" s="4">
        <v>63</v>
      </c>
      <c r="F428" s="2" t="s">
        <v>100</v>
      </c>
      <c r="G428" s="2" t="s">
        <v>35</v>
      </c>
      <c r="H428" s="2" t="s">
        <v>74</v>
      </c>
      <c r="I428" s="4">
        <v>1</v>
      </c>
      <c r="J428" s="5">
        <v>3700</v>
      </c>
      <c r="K428" s="6">
        <v>0.2</v>
      </c>
      <c r="L428" s="2" t="s">
        <v>22</v>
      </c>
      <c r="M428" s="2" t="s">
        <v>56</v>
      </c>
      <c r="N428" s="5">
        <f t="shared" si="18"/>
        <v>3700</v>
      </c>
      <c r="O428" s="5">
        <f t="shared" si="19"/>
        <v>740</v>
      </c>
      <c r="P428" s="5">
        <f t="shared" si="20"/>
        <v>2960</v>
      </c>
    </row>
    <row r="429" spans="1:16" x14ac:dyDescent="0.25">
      <c r="A429" s="2" t="s">
        <v>544</v>
      </c>
      <c r="B429" s="3">
        <v>46045</v>
      </c>
      <c r="C429" s="2" t="s">
        <v>89</v>
      </c>
      <c r="D429" s="2" t="s">
        <v>33</v>
      </c>
      <c r="E429" s="4">
        <v>21</v>
      </c>
      <c r="F429" s="2" t="s">
        <v>34</v>
      </c>
      <c r="G429" s="2" t="s">
        <v>45</v>
      </c>
      <c r="H429" s="2" t="s">
        <v>101</v>
      </c>
      <c r="I429" s="4">
        <v>3</v>
      </c>
      <c r="J429" s="5">
        <v>16700</v>
      </c>
      <c r="K429" s="6">
        <v>0.1</v>
      </c>
      <c r="L429" s="2" t="s">
        <v>29</v>
      </c>
      <c r="M429" s="2" t="s">
        <v>68</v>
      </c>
      <c r="N429" s="5">
        <f t="shared" si="18"/>
        <v>50100</v>
      </c>
      <c r="O429" s="5">
        <f t="shared" si="19"/>
        <v>5010</v>
      </c>
      <c r="P429" s="5">
        <f t="shared" si="20"/>
        <v>45090</v>
      </c>
    </row>
    <row r="430" spans="1:16" x14ac:dyDescent="0.25">
      <c r="A430" s="2" t="s">
        <v>545</v>
      </c>
      <c r="B430" s="3">
        <v>45924</v>
      </c>
      <c r="C430" s="2" t="s">
        <v>76</v>
      </c>
      <c r="D430" s="2" t="s">
        <v>33</v>
      </c>
      <c r="E430" s="4">
        <v>62</v>
      </c>
      <c r="F430" s="2" t="s">
        <v>19</v>
      </c>
      <c r="G430" s="2" t="s">
        <v>27</v>
      </c>
      <c r="H430" s="2" t="s">
        <v>77</v>
      </c>
      <c r="I430" s="4">
        <v>8</v>
      </c>
      <c r="J430" s="5">
        <v>36800</v>
      </c>
      <c r="K430" s="6">
        <v>0.02</v>
      </c>
      <c r="L430" s="2" t="s">
        <v>29</v>
      </c>
      <c r="M430" s="2" t="s">
        <v>42</v>
      </c>
      <c r="N430" s="5">
        <f t="shared" si="18"/>
        <v>294400</v>
      </c>
      <c r="O430" s="5">
        <f t="shared" si="19"/>
        <v>5888</v>
      </c>
      <c r="P430" s="5">
        <f t="shared" si="20"/>
        <v>288512</v>
      </c>
    </row>
    <row r="431" spans="1:16" x14ac:dyDescent="0.25">
      <c r="A431" s="2" t="s">
        <v>546</v>
      </c>
      <c r="B431" s="3">
        <v>45964</v>
      </c>
      <c r="C431" s="2" t="s">
        <v>73</v>
      </c>
      <c r="D431" s="2" t="s">
        <v>18</v>
      </c>
      <c r="E431" s="4">
        <v>59</v>
      </c>
      <c r="F431" s="2" t="s">
        <v>71</v>
      </c>
      <c r="G431" s="2" t="s">
        <v>51</v>
      </c>
      <c r="H431" s="2" t="s">
        <v>52</v>
      </c>
      <c r="I431" s="4">
        <v>5</v>
      </c>
      <c r="J431" s="5">
        <v>223900</v>
      </c>
      <c r="K431" s="6">
        <v>0</v>
      </c>
      <c r="L431" s="2" t="s">
        <v>47</v>
      </c>
      <c r="M431" s="2" t="s">
        <v>112</v>
      </c>
      <c r="N431" s="5">
        <f t="shared" si="18"/>
        <v>1119500</v>
      </c>
      <c r="O431" s="5">
        <f t="shared" si="19"/>
        <v>0</v>
      </c>
      <c r="P431" s="5">
        <f t="shared" si="20"/>
        <v>1119500</v>
      </c>
    </row>
    <row r="432" spans="1:16" x14ac:dyDescent="0.25">
      <c r="A432" s="2" t="s">
        <v>547</v>
      </c>
      <c r="B432" s="3">
        <v>46063</v>
      </c>
      <c r="C432" s="2" t="s">
        <v>105</v>
      </c>
      <c r="D432" s="2" t="s">
        <v>33</v>
      </c>
      <c r="E432" s="4">
        <v>38</v>
      </c>
      <c r="F432" s="2" t="s">
        <v>71</v>
      </c>
      <c r="G432" s="2" t="s">
        <v>45</v>
      </c>
      <c r="H432" s="2" t="s">
        <v>46</v>
      </c>
      <c r="I432" s="4">
        <v>4</v>
      </c>
      <c r="J432" s="5">
        <v>177900</v>
      </c>
      <c r="K432" s="6">
        <v>0.18</v>
      </c>
      <c r="L432" s="2" t="s">
        <v>22</v>
      </c>
      <c r="M432" s="2" t="s">
        <v>37</v>
      </c>
      <c r="N432" s="5">
        <f t="shared" si="18"/>
        <v>711600</v>
      </c>
      <c r="O432" s="5">
        <f t="shared" si="19"/>
        <v>128088</v>
      </c>
      <c r="P432" s="5">
        <f t="shared" si="20"/>
        <v>583512</v>
      </c>
    </row>
    <row r="433" spans="1:16" x14ac:dyDescent="0.25">
      <c r="A433" s="2" t="s">
        <v>548</v>
      </c>
      <c r="B433" s="3">
        <v>46151</v>
      </c>
      <c r="C433" s="2" t="s">
        <v>62</v>
      </c>
      <c r="D433" s="2" t="s">
        <v>18</v>
      </c>
      <c r="E433" s="4">
        <v>65</v>
      </c>
      <c r="F433" s="2" t="s">
        <v>71</v>
      </c>
      <c r="G433" s="2" t="s">
        <v>27</v>
      </c>
      <c r="H433" s="2" t="s">
        <v>41</v>
      </c>
      <c r="I433" s="4">
        <v>8</v>
      </c>
      <c r="J433" s="5">
        <v>128600</v>
      </c>
      <c r="K433" s="6">
        <v>0.05</v>
      </c>
      <c r="L433" s="2" t="s">
        <v>29</v>
      </c>
      <c r="M433" s="2" t="s">
        <v>48</v>
      </c>
      <c r="N433" s="5">
        <f t="shared" si="18"/>
        <v>1028800</v>
      </c>
      <c r="O433" s="5">
        <f t="shared" si="19"/>
        <v>51440</v>
      </c>
      <c r="P433" s="5">
        <f t="shared" si="20"/>
        <v>977360</v>
      </c>
    </row>
    <row r="434" spans="1:16" x14ac:dyDescent="0.25">
      <c r="A434" s="2" t="s">
        <v>549</v>
      </c>
      <c r="B434" s="3">
        <v>45945</v>
      </c>
      <c r="C434" s="2" t="s">
        <v>325</v>
      </c>
      <c r="D434" s="2" t="s">
        <v>18</v>
      </c>
      <c r="E434" s="4">
        <v>65</v>
      </c>
      <c r="F434" s="2" t="s">
        <v>71</v>
      </c>
      <c r="G434" s="2" t="s">
        <v>45</v>
      </c>
      <c r="H434" s="2" t="s">
        <v>59</v>
      </c>
      <c r="I434" s="4">
        <v>7</v>
      </c>
      <c r="J434" s="5">
        <v>12300</v>
      </c>
      <c r="K434" s="6">
        <v>0.1</v>
      </c>
      <c r="L434" s="2" t="s">
        <v>29</v>
      </c>
      <c r="M434" s="2" t="s">
        <v>68</v>
      </c>
      <c r="N434" s="5">
        <f t="shared" si="18"/>
        <v>86100</v>
      </c>
      <c r="O434" s="5">
        <f t="shared" si="19"/>
        <v>8610</v>
      </c>
      <c r="P434" s="5">
        <f t="shared" si="20"/>
        <v>77490</v>
      </c>
    </row>
    <row r="435" spans="1:16" x14ac:dyDescent="0.25">
      <c r="A435" s="2" t="s">
        <v>550</v>
      </c>
      <c r="B435" s="3">
        <v>45916</v>
      </c>
      <c r="C435" s="2" t="s">
        <v>99</v>
      </c>
      <c r="D435" s="2" t="s">
        <v>18</v>
      </c>
      <c r="E435" s="4">
        <v>55</v>
      </c>
      <c r="F435" s="2" t="s">
        <v>19</v>
      </c>
      <c r="G435" s="2" t="s">
        <v>45</v>
      </c>
      <c r="H435" s="2" t="s">
        <v>187</v>
      </c>
      <c r="I435" s="4">
        <v>3</v>
      </c>
      <c r="J435" s="5">
        <v>121100</v>
      </c>
      <c r="K435" s="6">
        <v>0</v>
      </c>
      <c r="L435" s="2" t="s">
        <v>22</v>
      </c>
      <c r="M435" s="2" t="s">
        <v>37</v>
      </c>
      <c r="N435" s="5">
        <f t="shared" si="18"/>
        <v>363300</v>
      </c>
      <c r="O435" s="5">
        <f t="shared" si="19"/>
        <v>0</v>
      </c>
      <c r="P435" s="5">
        <f t="shared" si="20"/>
        <v>363300</v>
      </c>
    </row>
    <row r="436" spans="1:16" x14ac:dyDescent="0.25">
      <c r="A436" s="2" t="s">
        <v>551</v>
      </c>
      <c r="B436" s="3">
        <v>46155</v>
      </c>
      <c r="C436" s="2" t="s">
        <v>76</v>
      </c>
      <c r="D436" s="2" t="s">
        <v>33</v>
      </c>
      <c r="E436" s="4">
        <v>58</v>
      </c>
      <c r="F436" s="2" t="s">
        <v>71</v>
      </c>
      <c r="G436" s="2" t="s">
        <v>35</v>
      </c>
      <c r="H436" s="2" t="s">
        <v>74</v>
      </c>
      <c r="I436" s="4">
        <v>10</v>
      </c>
      <c r="J436" s="5">
        <v>4000</v>
      </c>
      <c r="K436" s="6">
        <v>0.2</v>
      </c>
      <c r="L436" s="2" t="s">
        <v>47</v>
      </c>
      <c r="M436" s="2" t="s">
        <v>48</v>
      </c>
      <c r="N436" s="5">
        <f t="shared" si="18"/>
        <v>40000</v>
      </c>
      <c r="O436" s="5">
        <f t="shared" si="19"/>
        <v>8000</v>
      </c>
      <c r="P436" s="5">
        <f t="shared" si="20"/>
        <v>32000</v>
      </c>
    </row>
    <row r="437" spans="1:16" x14ac:dyDescent="0.25">
      <c r="A437" s="2" t="s">
        <v>552</v>
      </c>
      <c r="B437" s="3">
        <v>46212</v>
      </c>
      <c r="C437" s="2" t="s">
        <v>237</v>
      </c>
      <c r="D437" s="2" t="s">
        <v>18</v>
      </c>
      <c r="E437" s="4">
        <v>51</v>
      </c>
      <c r="F437" s="2" t="s">
        <v>26</v>
      </c>
      <c r="G437" s="2" t="s">
        <v>27</v>
      </c>
      <c r="H437" s="2" t="s">
        <v>77</v>
      </c>
      <c r="I437" s="4">
        <v>9</v>
      </c>
      <c r="J437" s="5">
        <v>50800</v>
      </c>
      <c r="K437" s="6">
        <v>0.05</v>
      </c>
      <c r="L437" s="2" t="s">
        <v>47</v>
      </c>
      <c r="M437" s="2" t="s">
        <v>42</v>
      </c>
      <c r="N437" s="5">
        <f t="shared" si="18"/>
        <v>457200</v>
      </c>
      <c r="O437" s="5">
        <f t="shared" si="19"/>
        <v>22860</v>
      </c>
      <c r="P437" s="5">
        <f t="shared" si="20"/>
        <v>434340</v>
      </c>
    </row>
    <row r="438" spans="1:16" x14ac:dyDescent="0.25">
      <c r="A438" s="2" t="s">
        <v>553</v>
      </c>
      <c r="B438" s="3">
        <v>46124</v>
      </c>
      <c r="C438" s="2" t="s">
        <v>116</v>
      </c>
      <c r="D438" s="2" t="s">
        <v>18</v>
      </c>
      <c r="E438" s="4">
        <v>23</v>
      </c>
      <c r="F438" s="2" t="s">
        <v>19</v>
      </c>
      <c r="G438" s="2" t="s">
        <v>27</v>
      </c>
      <c r="H438" s="2" t="s">
        <v>41</v>
      </c>
      <c r="I438" s="4">
        <v>6</v>
      </c>
      <c r="J438" s="5">
        <v>176900</v>
      </c>
      <c r="K438" s="6">
        <v>0.12</v>
      </c>
      <c r="L438" s="2" t="s">
        <v>47</v>
      </c>
      <c r="M438" s="2" t="s">
        <v>68</v>
      </c>
      <c r="N438" s="5">
        <f t="shared" si="18"/>
        <v>1061400</v>
      </c>
      <c r="O438" s="5">
        <f t="shared" si="19"/>
        <v>127368</v>
      </c>
      <c r="P438" s="5">
        <f t="shared" si="20"/>
        <v>934032</v>
      </c>
    </row>
    <row r="439" spans="1:16" x14ac:dyDescent="0.25">
      <c r="A439" s="2" t="s">
        <v>554</v>
      </c>
      <c r="B439" s="3">
        <v>45961</v>
      </c>
      <c r="C439" s="2" t="s">
        <v>25</v>
      </c>
      <c r="D439" s="2" t="s">
        <v>18</v>
      </c>
      <c r="E439" s="4">
        <v>57</v>
      </c>
      <c r="F439" s="2" t="s">
        <v>71</v>
      </c>
      <c r="G439" s="2" t="s">
        <v>51</v>
      </c>
      <c r="H439" s="2" t="s">
        <v>111</v>
      </c>
      <c r="I439" s="4">
        <v>6</v>
      </c>
      <c r="J439" s="5">
        <v>280100</v>
      </c>
      <c r="K439" s="6">
        <v>0.18</v>
      </c>
      <c r="L439" s="2" t="s">
        <v>22</v>
      </c>
      <c r="M439" s="2" t="s">
        <v>30</v>
      </c>
      <c r="N439" s="5">
        <f t="shared" si="18"/>
        <v>1680600</v>
      </c>
      <c r="O439" s="5">
        <f t="shared" si="19"/>
        <v>302508</v>
      </c>
      <c r="P439" s="5">
        <f t="shared" si="20"/>
        <v>1378092</v>
      </c>
    </row>
    <row r="440" spans="1:16" x14ac:dyDescent="0.25">
      <c r="A440" s="2" t="s">
        <v>555</v>
      </c>
      <c r="B440" s="3">
        <v>46168</v>
      </c>
      <c r="C440" s="2" t="s">
        <v>50</v>
      </c>
      <c r="D440" s="2" t="s">
        <v>33</v>
      </c>
      <c r="E440" s="4">
        <v>20</v>
      </c>
      <c r="F440" s="2" t="s">
        <v>34</v>
      </c>
      <c r="G440" s="2" t="s">
        <v>20</v>
      </c>
      <c r="H440" s="2" t="s">
        <v>108</v>
      </c>
      <c r="I440" s="4">
        <v>7</v>
      </c>
      <c r="J440" s="5">
        <v>38700</v>
      </c>
      <c r="K440" s="6">
        <v>0.1</v>
      </c>
      <c r="L440" s="2" t="s">
        <v>29</v>
      </c>
      <c r="M440" s="2" t="s">
        <v>68</v>
      </c>
      <c r="N440" s="5">
        <f t="shared" si="18"/>
        <v>270900</v>
      </c>
      <c r="O440" s="5">
        <f t="shared" si="19"/>
        <v>27090</v>
      </c>
      <c r="P440" s="5">
        <f t="shared" si="20"/>
        <v>243810</v>
      </c>
    </row>
    <row r="441" spans="1:16" x14ac:dyDescent="0.25">
      <c r="A441" s="2" t="s">
        <v>556</v>
      </c>
      <c r="B441" s="3">
        <v>45862</v>
      </c>
      <c r="C441" s="2" t="s">
        <v>39</v>
      </c>
      <c r="D441" s="2" t="s">
        <v>33</v>
      </c>
      <c r="E441" s="4">
        <v>41</v>
      </c>
      <c r="F441" s="2" t="s">
        <v>71</v>
      </c>
      <c r="G441" s="2" t="s">
        <v>65</v>
      </c>
      <c r="H441" s="2" t="s">
        <v>129</v>
      </c>
      <c r="I441" s="4">
        <v>1</v>
      </c>
      <c r="J441" s="5">
        <v>18000</v>
      </c>
      <c r="K441" s="6">
        <v>0.1</v>
      </c>
      <c r="L441" s="2" t="s">
        <v>29</v>
      </c>
      <c r="M441" s="2" t="s">
        <v>60</v>
      </c>
      <c r="N441" s="5">
        <f t="shared" si="18"/>
        <v>18000</v>
      </c>
      <c r="O441" s="5">
        <f t="shared" si="19"/>
        <v>1800</v>
      </c>
      <c r="P441" s="5">
        <f t="shared" si="20"/>
        <v>16200</v>
      </c>
    </row>
    <row r="442" spans="1:16" x14ac:dyDescent="0.25">
      <c r="A442" s="2" t="s">
        <v>557</v>
      </c>
      <c r="B442" s="3">
        <v>46014</v>
      </c>
      <c r="C442" s="2" t="s">
        <v>218</v>
      </c>
      <c r="D442" s="2" t="s">
        <v>33</v>
      </c>
      <c r="E442" s="4">
        <v>23</v>
      </c>
      <c r="F442" s="2" t="s">
        <v>40</v>
      </c>
      <c r="G442" s="2" t="s">
        <v>27</v>
      </c>
      <c r="H442" s="2" t="s">
        <v>77</v>
      </c>
      <c r="I442" s="4">
        <v>2</v>
      </c>
      <c r="J442" s="5">
        <v>45500</v>
      </c>
      <c r="K442" s="6">
        <v>7.0000000000000007E-2</v>
      </c>
      <c r="L442" s="2" t="s">
        <v>29</v>
      </c>
      <c r="M442" s="2" t="s">
        <v>60</v>
      </c>
      <c r="N442" s="5">
        <f t="shared" si="18"/>
        <v>91000</v>
      </c>
      <c r="O442" s="5">
        <f t="shared" si="19"/>
        <v>6370.0000000000009</v>
      </c>
      <c r="P442" s="5">
        <f t="shared" si="20"/>
        <v>84630</v>
      </c>
    </row>
    <row r="443" spans="1:16" x14ac:dyDescent="0.25">
      <c r="A443" s="2" t="s">
        <v>558</v>
      </c>
      <c r="B443" s="3">
        <v>46200</v>
      </c>
      <c r="C443" s="2" t="s">
        <v>107</v>
      </c>
      <c r="D443" s="2" t="s">
        <v>33</v>
      </c>
      <c r="E443" s="4">
        <v>24</v>
      </c>
      <c r="F443" s="2" t="s">
        <v>26</v>
      </c>
      <c r="G443" s="2" t="s">
        <v>65</v>
      </c>
      <c r="H443" s="2" t="s">
        <v>129</v>
      </c>
      <c r="I443" s="4">
        <v>2</v>
      </c>
      <c r="J443" s="5">
        <v>20600</v>
      </c>
      <c r="K443" s="6">
        <v>0.05</v>
      </c>
      <c r="L443" s="2" t="s">
        <v>22</v>
      </c>
      <c r="M443" s="2" t="s">
        <v>23</v>
      </c>
      <c r="N443" s="5">
        <f t="shared" si="18"/>
        <v>41200</v>
      </c>
      <c r="O443" s="5">
        <f t="shared" si="19"/>
        <v>2060</v>
      </c>
      <c r="P443" s="5">
        <f t="shared" si="20"/>
        <v>39140</v>
      </c>
    </row>
    <row r="444" spans="1:16" x14ac:dyDescent="0.25">
      <c r="A444" s="2" t="s">
        <v>559</v>
      </c>
      <c r="B444" s="3">
        <v>46019</v>
      </c>
      <c r="C444" s="2" t="s">
        <v>96</v>
      </c>
      <c r="D444" s="2" t="s">
        <v>18</v>
      </c>
      <c r="E444" s="4">
        <v>23</v>
      </c>
      <c r="F444" s="2" t="s">
        <v>40</v>
      </c>
      <c r="G444" s="2" t="s">
        <v>45</v>
      </c>
      <c r="H444" s="2" t="s">
        <v>101</v>
      </c>
      <c r="I444" s="4">
        <v>9</v>
      </c>
      <c r="J444" s="5">
        <v>16300</v>
      </c>
      <c r="K444" s="6">
        <v>0.02</v>
      </c>
      <c r="L444" s="2" t="s">
        <v>29</v>
      </c>
      <c r="M444" s="2" t="s">
        <v>60</v>
      </c>
      <c r="N444" s="5">
        <f t="shared" si="18"/>
        <v>146700</v>
      </c>
      <c r="O444" s="5">
        <f t="shared" si="19"/>
        <v>2934</v>
      </c>
      <c r="P444" s="5">
        <f t="shared" si="20"/>
        <v>143766</v>
      </c>
    </row>
    <row r="445" spans="1:16" x14ac:dyDescent="0.25">
      <c r="A445" s="2" t="s">
        <v>560</v>
      </c>
      <c r="B445" s="3">
        <v>45982</v>
      </c>
      <c r="C445" s="2" t="s">
        <v>223</v>
      </c>
      <c r="D445" s="2" t="s">
        <v>33</v>
      </c>
      <c r="E445" s="4">
        <v>42</v>
      </c>
      <c r="F445" s="2" t="s">
        <v>100</v>
      </c>
      <c r="G445" s="2" t="s">
        <v>35</v>
      </c>
      <c r="H445" s="2" t="s">
        <v>55</v>
      </c>
      <c r="I445" s="4">
        <v>6</v>
      </c>
      <c r="J445" s="5">
        <v>5300</v>
      </c>
      <c r="K445" s="6">
        <v>0</v>
      </c>
      <c r="L445" s="2" t="s">
        <v>47</v>
      </c>
      <c r="M445" s="2" t="s">
        <v>48</v>
      </c>
      <c r="N445" s="5">
        <f t="shared" si="18"/>
        <v>31800</v>
      </c>
      <c r="O445" s="5">
        <f t="shared" si="19"/>
        <v>0</v>
      </c>
      <c r="P445" s="5">
        <f t="shared" si="20"/>
        <v>31800</v>
      </c>
    </row>
    <row r="446" spans="1:16" x14ac:dyDescent="0.25">
      <c r="A446" s="2" t="s">
        <v>561</v>
      </c>
      <c r="B446" s="3">
        <v>46123</v>
      </c>
      <c r="C446" s="2" t="s">
        <v>83</v>
      </c>
      <c r="D446" s="2" t="s">
        <v>33</v>
      </c>
      <c r="E446" s="4">
        <v>59</v>
      </c>
      <c r="F446" s="2" t="s">
        <v>34</v>
      </c>
      <c r="G446" s="2" t="s">
        <v>65</v>
      </c>
      <c r="H446" s="2" t="s">
        <v>66</v>
      </c>
      <c r="I446" s="4">
        <v>10</v>
      </c>
      <c r="J446" s="5">
        <v>5600</v>
      </c>
      <c r="K446" s="6">
        <v>0</v>
      </c>
      <c r="L446" s="2" t="s">
        <v>29</v>
      </c>
      <c r="M446" s="2" t="s">
        <v>48</v>
      </c>
      <c r="N446" s="5">
        <f t="shared" si="18"/>
        <v>56000</v>
      </c>
      <c r="O446" s="5">
        <f t="shared" si="19"/>
        <v>0</v>
      </c>
      <c r="P446" s="5">
        <f t="shared" si="20"/>
        <v>56000</v>
      </c>
    </row>
    <row r="447" spans="1:16" x14ac:dyDescent="0.25">
      <c r="A447" s="2" t="s">
        <v>562</v>
      </c>
      <c r="B447" s="3">
        <v>46033</v>
      </c>
      <c r="C447" s="2" t="s">
        <v>218</v>
      </c>
      <c r="D447" s="2" t="s">
        <v>33</v>
      </c>
      <c r="E447" s="4">
        <v>24</v>
      </c>
      <c r="F447" s="2" t="s">
        <v>19</v>
      </c>
      <c r="G447" s="2" t="s">
        <v>35</v>
      </c>
      <c r="H447" s="2" t="s">
        <v>74</v>
      </c>
      <c r="I447" s="4">
        <v>2</v>
      </c>
      <c r="J447" s="5">
        <v>4500</v>
      </c>
      <c r="K447" s="6">
        <v>0.1</v>
      </c>
      <c r="L447" s="2" t="s">
        <v>47</v>
      </c>
      <c r="M447" s="2" t="s">
        <v>112</v>
      </c>
      <c r="N447" s="5">
        <f t="shared" si="18"/>
        <v>9000</v>
      </c>
      <c r="O447" s="5">
        <f t="shared" si="19"/>
        <v>900</v>
      </c>
      <c r="P447" s="5">
        <f t="shared" si="20"/>
        <v>8100</v>
      </c>
    </row>
    <row r="448" spans="1:16" x14ac:dyDescent="0.25">
      <c r="A448" s="2" t="s">
        <v>563</v>
      </c>
      <c r="B448" s="3">
        <v>46052</v>
      </c>
      <c r="C448" s="2" t="s">
        <v>80</v>
      </c>
      <c r="D448" s="2" t="s">
        <v>18</v>
      </c>
      <c r="E448" s="4">
        <v>19</v>
      </c>
      <c r="F448" s="2" t="s">
        <v>100</v>
      </c>
      <c r="G448" s="2" t="s">
        <v>27</v>
      </c>
      <c r="H448" s="2" t="s">
        <v>41</v>
      </c>
      <c r="I448" s="4">
        <v>7</v>
      </c>
      <c r="J448" s="5">
        <v>107900</v>
      </c>
      <c r="K448" s="6">
        <v>0.2</v>
      </c>
      <c r="L448" s="2" t="s">
        <v>47</v>
      </c>
      <c r="M448" s="2" t="s">
        <v>94</v>
      </c>
      <c r="N448" s="5">
        <f t="shared" si="18"/>
        <v>755300</v>
      </c>
      <c r="O448" s="5">
        <f t="shared" si="19"/>
        <v>151060</v>
      </c>
      <c r="P448" s="5">
        <f t="shared" si="20"/>
        <v>604240</v>
      </c>
    </row>
    <row r="449" spans="1:16" x14ac:dyDescent="0.25">
      <c r="A449" s="2" t="s">
        <v>564</v>
      </c>
      <c r="B449" s="3">
        <v>46002</v>
      </c>
      <c r="C449" s="2" t="s">
        <v>105</v>
      </c>
      <c r="D449" s="2" t="s">
        <v>33</v>
      </c>
      <c r="E449" s="4">
        <v>64</v>
      </c>
      <c r="F449" s="2" t="s">
        <v>34</v>
      </c>
      <c r="G449" s="2" t="s">
        <v>20</v>
      </c>
      <c r="H449" s="2" t="s">
        <v>114</v>
      </c>
      <c r="I449" s="4">
        <v>9</v>
      </c>
      <c r="J449" s="5">
        <v>3600</v>
      </c>
      <c r="K449" s="6">
        <v>0.05</v>
      </c>
      <c r="L449" s="2" t="s">
        <v>22</v>
      </c>
      <c r="M449" s="2" t="s">
        <v>56</v>
      </c>
      <c r="N449" s="5">
        <f t="shared" si="18"/>
        <v>32400</v>
      </c>
      <c r="O449" s="5">
        <f t="shared" si="19"/>
        <v>1620</v>
      </c>
      <c r="P449" s="5">
        <f t="shared" si="20"/>
        <v>30780</v>
      </c>
    </row>
    <row r="450" spans="1:16" x14ac:dyDescent="0.25">
      <c r="A450" s="2" t="s">
        <v>565</v>
      </c>
      <c r="B450" s="3">
        <v>45852</v>
      </c>
      <c r="C450" s="2" t="s">
        <v>118</v>
      </c>
      <c r="D450" s="2" t="s">
        <v>33</v>
      </c>
      <c r="E450" s="4">
        <v>56</v>
      </c>
      <c r="F450" s="2" t="s">
        <v>100</v>
      </c>
      <c r="G450" s="2" t="s">
        <v>65</v>
      </c>
      <c r="H450" s="2" t="s">
        <v>66</v>
      </c>
      <c r="I450" s="4">
        <v>4</v>
      </c>
      <c r="J450" s="5">
        <v>3700</v>
      </c>
      <c r="K450" s="6">
        <v>0.12</v>
      </c>
      <c r="L450" s="2" t="s">
        <v>22</v>
      </c>
      <c r="M450" s="2" t="s">
        <v>112</v>
      </c>
      <c r="N450" s="5">
        <f t="shared" ref="N450:N501" si="21">I450*J450</f>
        <v>14800</v>
      </c>
      <c r="O450" s="5">
        <f t="shared" ref="O450:O501" si="22">N450*K450</f>
        <v>1776</v>
      </c>
      <c r="P450" s="5">
        <f t="shared" ref="P450:P501" si="23">N450-O450</f>
        <v>13024</v>
      </c>
    </row>
    <row r="451" spans="1:16" x14ac:dyDescent="0.25">
      <c r="A451" s="2" t="s">
        <v>566</v>
      </c>
      <c r="B451" s="3">
        <v>46180</v>
      </c>
      <c r="C451" s="2" t="s">
        <v>218</v>
      </c>
      <c r="D451" s="2" t="s">
        <v>33</v>
      </c>
      <c r="E451" s="4">
        <v>27</v>
      </c>
      <c r="F451" s="2" t="s">
        <v>26</v>
      </c>
      <c r="G451" s="2" t="s">
        <v>27</v>
      </c>
      <c r="H451" s="2" t="s">
        <v>41</v>
      </c>
      <c r="I451" s="4">
        <v>5</v>
      </c>
      <c r="J451" s="5">
        <v>170900</v>
      </c>
      <c r="K451" s="6">
        <v>7.0000000000000007E-2</v>
      </c>
      <c r="L451" s="2" t="s">
        <v>22</v>
      </c>
      <c r="M451" s="2" t="s">
        <v>94</v>
      </c>
      <c r="N451" s="5">
        <f t="shared" si="21"/>
        <v>854500</v>
      </c>
      <c r="O451" s="5">
        <f t="shared" si="22"/>
        <v>59815.000000000007</v>
      </c>
      <c r="P451" s="5">
        <f t="shared" si="23"/>
        <v>794685</v>
      </c>
    </row>
    <row r="452" spans="1:16" x14ac:dyDescent="0.25">
      <c r="A452" s="2" t="s">
        <v>567</v>
      </c>
      <c r="B452" s="3">
        <v>46193</v>
      </c>
      <c r="C452" s="2" t="s">
        <v>118</v>
      </c>
      <c r="D452" s="2" t="s">
        <v>33</v>
      </c>
      <c r="E452" s="4">
        <v>21</v>
      </c>
      <c r="F452" s="2" t="s">
        <v>71</v>
      </c>
      <c r="G452" s="2" t="s">
        <v>51</v>
      </c>
      <c r="H452" s="2" t="s">
        <v>111</v>
      </c>
      <c r="I452" s="4">
        <v>2</v>
      </c>
      <c r="J452" s="5">
        <v>326200</v>
      </c>
      <c r="K452" s="6">
        <v>0.1</v>
      </c>
      <c r="L452" s="2" t="s">
        <v>22</v>
      </c>
      <c r="M452" s="2" t="s">
        <v>60</v>
      </c>
      <c r="N452" s="5">
        <f t="shared" si="21"/>
        <v>652400</v>
      </c>
      <c r="O452" s="5">
        <f t="shared" si="22"/>
        <v>65240</v>
      </c>
      <c r="P452" s="5">
        <f t="shared" si="23"/>
        <v>587160</v>
      </c>
    </row>
    <row r="453" spans="1:16" x14ac:dyDescent="0.25">
      <c r="A453" s="2" t="s">
        <v>568</v>
      </c>
      <c r="B453" s="3">
        <v>46147</v>
      </c>
      <c r="C453" s="2" t="s">
        <v>463</v>
      </c>
      <c r="D453" s="2" t="s">
        <v>18</v>
      </c>
      <c r="E453" s="4">
        <v>39</v>
      </c>
      <c r="F453" s="2" t="s">
        <v>19</v>
      </c>
      <c r="G453" s="2" t="s">
        <v>27</v>
      </c>
      <c r="H453" s="2" t="s">
        <v>41</v>
      </c>
      <c r="I453" s="4">
        <v>5</v>
      </c>
      <c r="J453" s="5">
        <v>103100</v>
      </c>
      <c r="K453" s="6">
        <v>0.02</v>
      </c>
      <c r="L453" s="2" t="s">
        <v>22</v>
      </c>
      <c r="M453" s="2" t="s">
        <v>37</v>
      </c>
      <c r="N453" s="5">
        <f t="shared" si="21"/>
        <v>515500</v>
      </c>
      <c r="O453" s="5">
        <f t="shared" si="22"/>
        <v>10310</v>
      </c>
      <c r="P453" s="5">
        <f t="shared" si="23"/>
        <v>505190</v>
      </c>
    </row>
    <row r="454" spans="1:16" x14ac:dyDescent="0.25">
      <c r="A454" s="2" t="s">
        <v>569</v>
      </c>
      <c r="B454" s="3">
        <v>46098</v>
      </c>
      <c r="C454" s="2" t="s">
        <v>245</v>
      </c>
      <c r="D454" s="2" t="s">
        <v>33</v>
      </c>
      <c r="E454" s="4">
        <v>39</v>
      </c>
      <c r="F454" s="2" t="s">
        <v>71</v>
      </c>
      <c r="G454" s="2" t="s">
        <v>35</v>
      </c>
      <c r="H454" s="2" t="s">
        <v>74</v>
      </c>
      <c r="I454" s="4">
        <v>3</v>
      </c>
      <c r="J454" s="5">
        <v>4400</v>
      </c>
      <c r="K454" s="6">
        <v>0.12</v>
      </c>
      <c r="L454" s="2" t="s">
        <v>47</v>
      </c>
      <c r="M454" s="2" t="s">
        <v>112</v>
      </c>
      <c r="N454" s="5">
        <f t="shared" si="21"/>
        <v>13200</v>
      </c>
      <c r="O454" s="5">
        <f t="shared" si="22"/>
        <v>1584</v>
      </c>
      <c r="P454" s="5">
        <f t="shared" si="23"/>
        <v>11616</v>
      </c>
    </row>
    <row r="455" spans="1:16" x14ac:dyDescent="0.25">
      <c r="A455" s="2" t="s">
        <v>570</v>
      </c>
      <c r="B455" s="3">
        <v>45936</v>
      </c>
      <c r="C455" s="2" t="s">
        <v>83</v>
      </c>
      <c r="D455" s="2" t="s">
        <v>33</v>
      </c>
      <c r="E455" s="4">
        <v>38</v>
      </c>
      <c r="F455" s="2" t="s">
        <v>26</v>
      </c>
      <c r="G455" s="2" t="s">
        <v>27</v>
      </c>
      <c r="H455" s="2" t="s">
        <v>28</v>
      </c>
      <c r="I455" s="4">
        <v>6</v>
      </c>
      <c r="J455" s="5">
        <v>39100</v>
      </c>
      <c r="K455" s="6">
        <v>0.05</v>
      </c>
      <c r="L455" s="2" t="s">
        <v>29</v>
      </c>
      <c r="M455" s="2" t="s">
        <v>37</v>
      </c>
      <c r="N455" s="5">
        <f t="shared" si="21"/>
        <v>234600</v>
      </c>
      <c r="O455" s="5">
        <f t="shared" si="22"/>
        <v>11730</v>
      </c>
      <c r="P455" s="5">
        <f t="shared" si="23"/>
        <v>222870</v>
      </c>
    </row>
    <row r="456" spans="1:16" x14ac:dyDescent="0.25">
      <c r="A456" s="2" t="s">
        <v>571</v>
      </c>
      <c r="B456" s="3">
        <v>46095</v>
      </c>
      <c r="C456" s="2" t="s">
        <v>185</v>
      </c>
      <c r="D456" s="2" t="s">
        <v>33</v>
      </c>
      <c r="E456" s="4">
        <v>46</v>
      </c>
      <c r="F456" s="2" t="s">
        <v>19</v>
      </c>
      <c r="G456" s="2" t="s">
        <v>20</v>
      </c>
      <c r="H456" s="2" t="s">
        <v>108</v>
      </c>
      <c r="I456" s="4">
        <v>2</v>
      </c>
      <c r="J456" s="5">
        <v>53100</v>
      </c>
      <c r="K456" s="6">
        <v>0.05</v>
      </c>
      <c r="L456" s="2" t="s">
        <v>29</v>
      </c>
      <c r="M456" s="2" t="s">
        <v>30</v>
      </c>
      <c r="N456" s="5">
        <f t="shared" si="21"/>
        <v>106200</v>
      </c>
      <c r="O456" s="5">
        <f t="shared" si="22"/>
        <v>5310</v>
      </c>
      <c r="P456" s="5">
        <f t="shared" si="23"/>
        <v>100890</v>
      </c>
    </row>
    <row r="457" spans="1:16" x14ac:dyDescent="0.25">
      <c r="A457" s="2" t="s">
        <v>572</v>
      </c>
      <c r="B457" s="3">
        <v>45891</v>
      </c>
      <c r="C457" s="2" t="s">
        <v>214</v>
      </c>
      <c r="D457" s="2" t="s">
        <v>18</v>
      </c>
      <c r="E457" s="4">
        <v>26</v>
      </c>
      <c r="F457" s="2" t="s">
        <v>71</v>
      </c>
      <c r="G457" s="2" t="s">
        <v>27</v>
      </c>
      <c r="H457" s="2" t="s">
        <v>81</v>
      </c>
      <c r="I457" s="4">
        <v>2</v>
      </c>
      <c r="J457" s="5">
        <v>80000</v>
      </c>
      <c r="K457" s="6">
        <v>0</v>
      </c>
      <c r="L457" s="2" t="s">
        <v>29</v>
      </c>
      <c r="M457" s="2" t="s">
        <v>56</v>
      </c>
      <c r="N457" s="5">
        <f t="shared" si="21"/>
        <v>160000</v>
      </c>
      <c r="O457" s="5">
        <f t="shared" si="22"/>
        <v>0</v>
      </c>
      <c r="P457" s="5">
        <f t="shared" si="23"/>
        <v>160000</v>
      </c>
    </row>
    <row r="458" spans="1:16" x14ac:dyDescent="0.25">
      <c r="A458" s="2" t="s">
        <v>573</v>
      </c>
      <c r="B458" s="3">
        <v>46147</v>
      </c>
      <c r="C458" s="2" t="s">
        <v>44</v>
      </c>
      <c r="D458" s="2" t="s">
        <v>18</v>
      </c>
      <c r="E458" s="4">
        <v>43</v>
      </c>
      <c r="F458" s="2" t="s">
        <v>71</v>
      </c>
      <c r="G458" s="2" t="s">
        <v>27</v>
      </c>
      <c r="H458" s="2" t="s">
        <v>77</v>
      </c>
      <c r="I458" s="4">
        <v>5</v>
      </c>
      <c r="J458" s="5">
        <v>43100</v>
      </c>
      <c r="K458" s="6">
        <v>0.2</v>
      </c>
      <c r="L458" s="2" t="s">
        <v>29</v>
      </c>
      <c r="M458" s="2" t="s">
        <v>23</v>
      </c>
      <c r="N458" s="5">
        <f t="shared" si="21"/>
        <v>215500</v>
      </c>
      <c r="O458" s="5">
        <f t="shared" si="22"/>
        <v>43100</v>
      </c>
      <c r="P458" s="5">
        <f t="shared" si="23"/>
        <v>172400</v>
      </c>
    </row>
    <row r="459" spans="1:16" x14ac:dyDescent="0.25">
      <c r="A459" s="2" t="s">
        <v>574</v>
      </c>
      <c r="B459" s="3">
        <v>46184</v>
      </c>
      <c r="C459" s="2" t="s">
        <v>145</v>
      </c>
      <c r="D459" s="2" t="s">
        <v>33</v>
      </c>
      <c r="E459" s="4">
        <v>27</v>
      </c>
      <c r="F459" s="2" t="s">
        <v>19</v>
      </c>
      <c r="G459" s="2" t="s">
        <v>51</v>
      </c>
      <c r="H459" s="2" t="s">
        <v>52</v>
      </c>
      <c r="I459" s="4">
        <v>10</v>
      </c>
      <c r="J459" s="5">
        <v>292400</v>
      </c>
      <c r="K459" s="6">
        <v>0.1</v>
      </c>
      <c r="L459" s="2" t="s">
        <v>22</v>
      </c>
      <c r="M459" s="2" t="s">
        <v>23</v>
      </c>
      <c r="N459" s="5">
        <f t="shared" si="21"/>
        <v>2924000</v>
      </c>
      <c r="O459" s="5">
        <f t="shared" si="22"/>
        <v>292400</v>
      </c>
      <c r="P459" s="5">
        <f t="shared" si="23"/>
        <v>2631600</v>
      </c>
    </row>
    <row r="460" spans="1:16" x14ac:dyDescent="0.25">
      <c r="A460" s="2" t="s">
        <v>575</v>
      </c>
      <c r="B460" s="3">
        <v>46106</v>
      </c>
      <c r="C460" s="2" t="s">
        <v>218</v>
      </c>
      <c r="D460" s="2" t="s">
        <v>33</v>
      </c>
      <c r="E460" s="4">
        <v>23</v>
      </c>
      <c r="F460" s="2" t="s">
        <v>100</v>
      </c>
      <c r="G460" s="2" t="s">
        <v>20</v>
      </c>
      <c r="H460" s="2" t="s">
        <v>114</v>
      </c>
      <c r="I460" s="4">
        <v>4</v>
      </c>
      <c r="J460" s="5">
        <v>3900</v>
      </c>
      <c r="K460" s="6">
        <v>0.05</v>
      </c>
      <c r="L460" s="2" t="s">
        <v>29</v>
      </c>
      <c r="M460" s="2" t="s">
        <v>94</v>
      </c>
      <c r="N460" s="5">
        <f t="shared" si="21"/>
        <v>15600</v>
      </c>
      <c r="O460" s="5">
        <f t="shared" si="22"/>
        <v>780</v>
      </c>
      <c r="P460" s="5">
        <f t="shared" si="23"/>
        <v>14820</v>
      </c>
    </row>
    <row r="461" spans="1:16" x14ac:dyDescent="0.25">
      <c r="A461" s="2" t="s">
        <v>576</v>
      </c>
      <c r="B461" s="3">
        <v>46078</v>
      </c>
      <c r="C461" s="2" t="s">
        <v>99</v>
      </c>
      <c r="D461" s="2" t="s">
        <v>18</v>
      </c>
      <c r="E461" s="4">
        <v>29</v>
      </c>
      <c r="F461" s="2" t="s">
        <v>71</v>
      </c>
      <c r="G461" s="2" t="s">
        <v>65</v>
      </c>
      <c r="H461" s="2" t="s">
        <v>90</v>
      </c>
      <c r="I461" s="4">
        <v>6</v>
      </c>
      <c r="J461" s="5">
        <v>23800</v>
      </c>
      <c r="K461" s="6">
        <v>0</v>
      </c>
      <c r="L461" s="2" t="s">
        <v>22</v>
      </c>
      <c r="M461" s="2" t="s">
        <v>23</v>
      </c>
      <c r="N461" s="5">
        <f t="shared" si="21"/>
        <v>142800</v>
      </c>
      <c r="O461" s="5">
        <f t="shared" si="22"/>
        <v>0</v>
      </c>
      <c r="P461" s="5">
        <f t="shared" si="23"/>
        <v>142800</v>
      </c>
    </row>
    <row r="462" spans="1:16" x14ac:dyDescent="0.25">
      <c r="A462" s="2" t="s">
        <v>577</v>
      </c>
      <c r="B462" s="3">
        <v>45968</v>
      </c>
      <c r="C462" s="2" t="s">
        <v>272</v>
      </c>
      <c r="D462" s="2" t="s">
        <v>18</v>
      </c>
      <c r="E462" s="4">
        <v>34</v>
      </c>
      <c r="F462" s="2" t="s">
        <v>19</v>
      </c>
      <c r="G462" s="2" t="s">
        <v>27</v>
      </c>
      <c r="H462" s="2" t="s">
        <v>77</v>
      </c>
      <c r="I462" s="4">
        <v>4</v>
      </c>
      <c r="J462" s="5">
        <v>46900</v>
      </c>
      <c r="K462" s="6">
        <v>0.2</v>
      </c>
      <c r="L462" s="2" t="s">
        <v>47</v>
      </c>
      <c r="M462" s="2" t="s">
        <v>112</v>
      </c>
      <c r="N462" s="5">
        <f t="shared" si="21"/>
        <v>187600</v>
      </c>
      <c r="O462" s="5">
        <f t="shared" si="22"/>
        <v>37520</v>
      </c>
      <c r="P462" s="5">
        <f t="shared" si="23"/>
        <v>150080</v>
      </c>
    </row>
    <row r="463" spans="1:16" x14ac:dyDescent="0.25">
      <c r="A463" s="2" t="s">
        <v>578</v>
      </c>
      <c r="B463" s="3">
        <v>46090</v>
      </c>
      <c r="C463" s="2" t="s">
        <v>185</v>
      </c>
      <c r="D463" s="2" t="s">
        <v>33</v>
      </c>
      <c r="E463" s="4">
        <v>20</v>
      </c>
      <c r="F463" s="2" t="s">
        <v>40</v>
      </c>
      <c r="G463" s="2" t="s">
        <v>35</v>
      </c>
      <c r="H463" s="2" t="s">
        <v>74</v>
      </c>
      <c r="I463" s="4">
        <v>9</v>
      </c>
      <c r="J463" s="5">
        <v>2400</v>
      </c>
      <c r="K463" s="6">
        <v>0.1</v>
      </c>
      <c r="L463" s="2" t="s">
        <v>29</v>
      </c>
      <c r="M463" s="2" t="s">
        <v>68</v>
      </c>
      <c r="N463" s="5">
        <f t="shared" si="21"/>
        <v>21600</v>
      </c>
      <c r="O463" s="5">
        <f t="shared" si="22"/>
        <v>2160</v>
      </c>
      <c r="P463" s="5">
        <f t="shared" si="23"/>
        <v>19440</v>
      </c>
    </row>
    <row r="464" spans="1:16" x14ac:dyDescent="0.25">
      <c r="A464" s="2" t="s">
        <v>579</v>
      </c>
      <c r="B464" s="3">
        <v>46146</v>
      </c>
      <c r="C464" s="2" t="s">
        <v>62</v>
      </c>
      <c r="D464" s="2" t="s">
        <v>18</v>
      </c>
      <c r="E464" s="4">
        <v>54</v>
      </c>
      <c r="F464" s="2" t="s">
        <v>26</v>
      </c>
      <c r="G464" s="2" t="s">
        <v>51</v>
      </c>
      <c r="H464" s="2" t="s">
        <v>120</v>
      </c>
      <c r="I464" s="4">
        <v>10</v>
      </c>
      <c r="J464" s="5">
        <v>37000</v>
      </c>
      <c r="K464" s="6">
        <v>0.02</v>
      </c>
      <c r="L464" s="2" t="s">
        <v>29</v>
      </c>
      <c r="M464" s="2" t="s">
        <v>68</v>
      </c>
      <c r="N464" s="5">
        <f t="shared" si="21"/>
        <v>370000</v>
      </c>
      <c r="O464" s="5">
        <f t="shared" si="22"/>
        <v>7400</v>
      </c>
      <c r="P464" s="5">
        <f t="shared" si="23"/>
        <v>362600</v>
      </c>
    </row>
    <row r="465" spans="1:16" x14ac:dyDescent="0.25">
      <c r="A465" s="2" t="s">
        <v>580</v>
      </c>
      <c r="B465" s="3">
        <v>46042</v>
      </c>
      <c r="C465" s="2" t="s">
        <v>165</v>
      </c>
      <c r="D465" s="2" t="s">
        <v>33</v>
      </c>
      <c r="E465" s="4">
        <v>51</v>
      </c>
      <c r="F465" s="2" t="s">
        <v>100</v>
      </c>
      <c r="G465" s="2" t="s">
        <v>20</v>
      </c>
      <c r="H465" s="2" t="s">
        <v>86</v>
      </c>
      <c r="I465" s="4">
        <v>8</v>
      </c>
      <c r="J465" s="5">
        <v>12000</v>
      </c>
      <c r="K465" s="6">
        <v>0</v>
      </c>
      <c r="L465" s="2" t="s">
        <v>29</v>
      </c>
      <c r="M465" s="2" t="s">
        <v>94</v>
      </c>
      <c r="N465" s="5">
        <f t="shared" si="21"/>
        <v>96000</v>
      </c>
      <c r="O465" s="5">
        <f t="shared" si="22"/>
        <v>0</v>
      </c>
      <c r="P465" s="5">
        <f t="shared" si="23"/>
        <v>96000</v>
      </c>
    </row>
    <row r="466" spans="1:16" x14ac:dyDescent="0.25">
      <c r="A466" s="2" t="s">
        <v>581</v>
      </c>
      <c r="B466" s="3">
        <v>46075</v>
      </c>
      <c r="C466" s="2" t="s">
        <v>99</v>
      </c>
      <c r="D466" s="2" t="s">
        <v>18</v>
      </c>
      <c r="E466" s="4">
        <v>32</v>
      </c>
      <c r="F466" s="2" t="s">
        <v>40</v>
      </c>
      <c r="G466" s="2" t="s">
        <v>65</v>
      </c>
      <c r="H466" s="2" t="s">
        <v>172</v>
      </c>
      <c r="I466" s="4">
        <v>3</v>
      </c>
      <c r="J466" s="5">
        <v>3900</v>
      </c>
      <c r="K466" s="6">
        <v>0.05</v>
      </c>
      <c r="L466" s="2" t="s">
        <v>22</v>
      </c>
      <c r="M466" s="2" t="s">
        <v>37</v>
      </c>
      <c r="N466" s="5">
        <f t="shared" si="21"/>
        <v>11700</v>
      </c>
      <c r="O466" s="5">
        <f t="shared" si="22"/>
        <v>585</v>
      </c>
      <c r="P466" s="5">
        <f t="shared" si="23"/>
        <v>11115</v>
      </c>
    </row>
    <row r="467" spans="1:16" x14ac:dyDescent="0.25">
      <c r="A467" s="2" t="s">
        <v>582</v>
      </c>
      <c r="B467" s="3">
        <v>46158</v>
      </c>
      <c r="C467" s="2" t="s">
        <v>182</v>
      </c>
      <c r="D467" s="2" t="s">
        <v>18</v>
      </c>
      <c r="E467" s="4">
        <v>25</v>
      </c>
      <c r="F467" s="2" t="s">
        <v>34</v>
      </c>
      <c r="G467" s="2" t="s">
        <v>27</v>
      </c>
      <c r="H467" s="2" t="s">
        <v>28</v>
      </c>
      <c r="I467" s="4">
        <v>6</v>
      </c>
      <c r="J467" s="5">
        <v>56600</v>
      </c>
      <c r="K467" s="6">
        <v>0.02</v>
      </c>
      <c r="L467" s="2" t="s">
        <v>47</v>
      </c>
      <c r="M467" s="2" t="s">
        <v>23</v>
      </c>
      <c r="N467" s="5">
        <f t="shared" si="21"/>
        <v>339600</v>
      </c>
      <c r="O467" s="5">
        <f t="shared" si="22"/>
        <v>6792</v>
      </c>
      <c r="P467" s="5">
        <f t="shared" si="23"/>
        <v>332808</v>
      </c>
    </row>
    <row r="468" spans="1:16" x14ac:dyDescent="0.25">
      <c r="A468" s="2" t="s">
        <v>583</v>
      </c>
      <c r="B468" s="3">
        <v>46095</v>
      </c>
      <c r="C468" s="2" t="s">
        <v>32</v>
      </c>
      <c r="D468" s="2" t="s">
        <v>33</v>
      </c>
      <c r="E468" s="4">
        <v>55</v>
      </c>
      <c r="F468" s="2" t="s">
        <v>26</v>
      </c>
      <c r="G468" s="2" t="s">
        <v>35</v>
      </c>
      <c r="H468" s="2" t="s">
        <v>55</v>
      </c>
      <c r="I468" s="4">
        <v>4</v>
      </c>
      <c r="J468" s="5">
        <v>3600</v>
      </c>
      <c r="K468" s="6">
        <v>0</v>
      </c>
      <c r="L468" s="2" t="s">
        <v>22</v>
      </c>
      <c r="M468" s="2" t="s">
        <v>30</v>
      </c>
      <c r="N468" s="5">
        <f t="shared" si="21"/>
        <v>14400</v>
      </c>
      <c r="O468" s="5">
        <f t="shared" si="22"/>
        <v>0</v>
      </c>
      <c r="P468" s="5">
        <f t="shared" si="23"/>
        <v>14400</v>
      </c>
    </row>
    <row r="469" spans="1:16" x14ac:dyDescent="0.25">
      <c r="A469" s="2" t="s">
        <v>584</v>
      </c>
      <c r="B469" s="3">
        <v>46153</v>
      </c>
      <c r="C469" s="2" t="s">
        <v>99</v>
      </c>
      <c r="D469" s="2" t="s">
        <v>18</v>
      </c>
      <c r="E469" s="4">
        <v>26</v>
      </c>
      <c r="F469" s="2" t="s">
        <v>34</v>
      </c>
      <c r="G469" s="2" t="s">
        <v>65</v>
      </c>
      <c r="H469" s="2" t="s">
        <v>66</v>
      </c>
      <c r="I469" s="4">
        <v>3</v>
      </c>
      <c r="J469" s="5">
        <v>4800</v>
      </c>
      <c r="K469" s="6">
        <v>0</v>
      </c>
      <c r="L469" s="2" t="s">
        <v>22</v>
      </c>
      <c r="M469" s="2" t="s">
        <v>68</v>
      </c>
      <c r="N469" s="5">
        <f t="shared" si="21"/>
        <v>14400</v>
      </c>
      <c r="O469" s="5">
        <f t="shared" si="22"/>
        <v>0</v>
      </c>
      <c r="P469" s="5">
        <f t="shared" si="23"/>
        <v>14400</v>
      </c>
    </row>
    <row r="470" spans="1:16" x14ac:dyDescent="0.25">
      <c r="A470" s="2" t="s">
        <v>585</v>
      </c>
      <c r="B470" s="3">
        <v>45942</v>
      </c>
      <c r="C470" s="2" t="s">
        <v>39</v>
      </c>
      <c r="D470" s="2" t="s">
        <v>33</v>
      </c>
      <c r="E470" s="4">
        <v>43</v>
      </c>
      <c r="F470" s="2" t="s">
        <v>71</v>
      </c>
      <c r="G470" s="2" t="s">
        <v>65</v>
      </c>
      <c r="H470" s="2" t="s">
        <v>66</v>
      </c>
      <c r="I470" s="4">
        <v>5</v>
      </c>
      <c r="J470" s="5">
        <v>5400</v>
      </c>
      <c r="K470" s="6">
        <v>0.02</v>
      </c>
      <c r="L470" s="2" t="s">
        <v>22</v>
      </c>
      <c r="M470" s="2" t="s">
        <v>23</v>
      </c>
      <c r="N470" s="5">
        <f t="shared" si="21"/>
        <v>27000</v>
      </c>
      <c r="O470" s="5">
        <f t="shared" si="22"/>
        <v>540</v>
      </c>
      <c r="P470" s="5">
        <f t="shared" si="23"/>
        <v>26460</v>
      </c>
    </row>
    <row r="471" spans="1:16" x14ac:dyDescent="0.25">
      <c r="A471" s="2" t="s">
        <v>586</v>
      </c>
      <c r="B471" s="3">
        <v>46160</v>
      </c>
      <c r="C471" s="2" t="s">
        <v>155</v>
      </c>
      <c r="D471" s="2" t="s">
        <v>18</v>
      </c>
      <c r="E471" s="4">
        <v>48</v>
      </c>
      <c r="F471" s="2" t="s">
        <v>26</v>
      </c>
      <c r="G471" s="2" t="s">
        <v>27</v>
      </c>
      <c r="H471" s="2" t="s">
        <v>28</v>
      </c>
      <c r="I471" s="4">
        <v>3</v>
      </c>
      <c r="J471" s="5">
        <v>49700</v>
      </c>
      <c r="K471" s="6">
        <v>0.05</v>
      </c>
      <c r="L471" s="2" t="s">
        <v>29</v>
      </c>
      <c r="M471" s="2" t="s">
        <v>42</v>
      </c>
      <c r="N471" s="5">
        <f t="shared" si="21"/>
        <v>149100</v>
      </c>
      <c r="O471" s="5">
        <f t="shared" si="22"/>
        <v>7455</v>
      </c>
      <c r="P471" s="5">
        <f t="shared" si="23"/>
        <v>141645</v>
      </c>
    </row>
    <row r="472" spans="1:16" x14ac:dyDescent="0.25">
      <c r="A472" s="2" t="s">
        <v>587</v>
      </c>
      <c r="B472" s="3">
        <v>45985</v>
      </c>
      <c r="C472" s="2" t="s">
        <v>99</v>
      </c>
      <c r="D472" s="2" t="s">
        <v>18</v>
      </c>
      <c r="E472" s="4">
        <v>64</v>
      </c>
      <c r="F472" s="2" t="s">
        <v>34</v>
      </c>
      <c r="G472" s="2" t="s">
        <v>20</v>
      </c>
      <c r="H472" s="2" t="s">
        <v>108</v>
      </c>
      <c r="I472" s="4">
        <v>10</v>
      </c>
      <c r="J472" s="5">
        <v>54500</v>
      </c>
      <c r="K472" s="6">
        <v>0.02</v>
      </c>
      <c r="L472" s="2" t="s">
        <v>22</v>
      </c>
      <c r="M472" s="2" t="s">
        <v>112</v>
      </c>
      <c r="N472" s="5">
        <f t="shared" si="21"/>
        <v>545000</v>
      </c>
      <c r="O472" s="5">
        <f t="shared" si="22"/>
        <v>10900</v>
      </c>
      <c r="P472" s="5">
        <f t="shared" si="23"/>
        <v>534100</v>
      </c>
    </row>
    <row r="473" spans="1:16" x14ac:dyDescent="0.25">
      <c r="A473" s="2" t="s">
        <v>588</v>
      </c>
      <c r="B473" s="3">
        <v>46047</v>
      </c>
      <c r="C473" s="2" t="s">
        <v>161</v>
      </c>
      <c r="D473" s="2" t="s">
        <v>18</v>
      </c>
      <c r="E473" s="4">
        <v>24</v>
      </c>
      <c r="F473" s="2" t="s">
        <v>40</v>
      </c>
      <c r="G473" s="2" t="s">
        <v>27</v>
      </c>
      <c r="H473" s="2" t="s">
        <v>28</v>
      </c>
      <c r="I473" s="4">
        <v>3</v>
      </c>
      <c r="J473" s="5">
        <v>57100</v>
      </c>
      <c r="K473" s="6">
        <v>0.02</v>
      </c>
      <c r="L473" s="2" t="s">
        <v>22</v>
      </c>
      <c r="M473" s="2" t="s">
        <v>23</v>
      </c>
      <c r="N473" s="5">
        <f t="shared" si="21"/>
        <v>171300</v>
      </c>
      <c r="O473" s="5">
        <f t="shared" si="22"/>
        <v>3426</v>
      </c>
      <c r="P473" s="5">
        <f t="shared" si="23"/>
        <v>167874</v>
      </c>
    </row>
    <row r="474" spans="1:16" x14ac:dyDescent="0.25">
      <c r="A474" s="2" t="s">
        <v>589</v>
      </c>
      <c r="B474" s="3">
        <v>46164</v>
      </c>
      <c r="C474" s="2" t="s">
        <v>128</v>
      </c>
      <c r="D474" s="2" t="s">
        <v>33</v>
      </c>
      <c r="E474" s="4">
        <v>20</v>
      </c>
      <c r="F474" s="2" t="s">
        <v>71</v>
      </c>
      <c r="G474" s="2" t="s">
        <v>65</v>
      </c>
      <c r="H474" s="2" t="s">
        <v>66</v>
      </c>
      <c r="I474" s="4">
        <v>8</v>
      </c>
      <c r="J474" s="5">
        <v>2900</v>
      </c>
      <c r="K474" s="6">
        <v>0.05</v>
      </c>
      <c r="L474" s="2" t="s">
        <v>29</v>
      </c>
      <c r="M474" s="2" t="s">
        <v>42</v>
      </c>
      <c r="N474" s="5">
        <f t="shared" si="21"/>
        <v>23200</v>
      </c>
      <c r="O474" s="5">
        <f t="shared" si="22"/>
        <v>1160</v>
      </c>
      <c r="P474" s="5">
        <f t="shared" si="23"/>
        <v>22040</v>
      </c>
    </row>
    <row r="475" spans="1:16" x14ac:dyDescent="0.25">
      <c r="A475" s="2" t="s">
        <v>590</v>
      </c>
      <c r="B475" s="3">
        <v>45850</v>
      </c>
      <c r="C475" s="2" t="s">
        <v>145</v>
      </c>
      <c r="D475" s="2" t="s">
        <v>33</v>
      </c>
      <c r="E475" s="4">
        <v>61</v>
      </c>
      <c r="F475" s="2" t="s">
        <v>34</v>
      </c>
      <c r="G475" s="2" t="s">
        <v>51</v>
      </c>
      <c r="H475" s="2" t="s">
        <v>120</v>
      </c>
      <c r="I475" s="4">
        <v>1</v>
      </c>
      <c r="J475" s="5">
        <v>37100</v>
      </c>
      <c r="K475" s="6">
        <v>0.2</v>
      </c>
      <c r="L475" s="2" t="s">
        <v>47</v>
      </c>
      <c r="M475" s="2" t="s">
        <v>60</v>
      </c>
      <c r="N475" s="5">
        <f t="shared" si="21"/>
        <v>37100</v>
      </c>
      <c r="O475" s="5">
        <f t="shared" si="22"/>
        <v>7420</v>
      </c>
      <c r="P475" s="5">
        <f t="shared" si="23"/>
        <v>29680</v>
      </c>
    </row>
    <row r="476" spans="1:16" x14ac:dyDescent="0.25">
      <c r="A476" s="2" t="s">
        <v>591</v>
      </c>
      <c r="B476" s="3">
        <v>46096</v>
      </c>
      <c r="C476" s="2" t="s">
        <v>145</v>
      </c>
      <c r="D476" s="2" t="s">
        <v>33</v>
      </c>
      <c r="E476" s="4">
        <v>42</v>
      </c>
      <c r="F476" s="2" t="s">
        <v>19</v>
      </c>
      <c r="G476" s="2" t="s">
        <v>65</v>
      </c>
      <c r="H476" s="2" t="s">
        <v>66</v>
      </c>
      <c r="I476" s="4">
        <v>3</v>
      </c>
      <c r="J476" s="5">
        <v>4200</v>
      </c>
      <c r="K476" s="6">
        <v>0.1</v>
      </c>
      <c r="L476" s="2" t="s">
        <v>47</v>
      </c>
      <c r="M476" s="2" t="s">
        <v>60</v>
      </c>
      <c r="N476" s="5">
        <f t="shared" si="21"/>
        <v>12600</v>
      </c>
      <c r="O476" s="5">
        <f t="shared" si="22"/>
        <v>1260</v>
      </c>
      <c r="P476" s="5">
        <f t="shared" si="23"/>
        <v>11340</v>
      </c>
    </row>
    <row r="477" spans="1:16" x14ac:dyDescent="0.25">
      <c r="A477" s="2" t="s">
        <v>592</v>
      </c>
      <c r="B477" s="3">
        <v>45892</v>
      </c>
      <c r="C477" s="2" t="s">
        <v>132</v>
      </c>
      <c r="D477" s="2" t="s">
        <v>33</v>
      </c>
      <c r="E477" s="4">
        <v>56</v>
      </c>
      <c r="F477" s="2" t="s">
        <v>71</v>
      </c>
      <c r="G477" s="2" t="s">
        <v>51</v>
      </c>
      <c r="H477" s="2" t="s">
        <v>92</v>
      </c>
      <c r="I477" s="4">
        <v>1</v>
      </c>
      <c r="J477" s="5">
        <v>18100</v>
      </c>
      <c r="K477" s="6">
        <v>0</v>
      </c>
      <c r="L477" s="2" t="s">
        <v>29</v>
      </c>
      <c r="M477" s="2" t="s">
        <v>42</v>
      </c>
      <c r="N477" s="5">
        <f t="shared" si="21"/>
        <v>18100</v>
      </c>
      <c r="O477" s="5">
        <f t="shared" si="22"/>
        <v>0</v>
      </c>
      <c r="P477" s="5">
        <f t="shared" si="23"/>
        <v>18100</v>
      </c>
    </row>
    <row r="478" spans="1:16" x14ac:dyDescent="0.25">
      <c r="A478" s="2" t="s">
        <v>593</v>
      </c>
      <c r="B478" s="3">
        <v>45910</v>
      </c>
      <c r="C478" s="2" t="s">
        <v>39</v>
      </c>
      <c r="D478" s="2" t="s">
        <v>33</v>
      </c>
      <c r="E478" s="4">
        <v>18</v>
      </c>
      <c r="F478" s="2" t="s">
        <v>100</v>
      </c>
      <c r="G478" s="2" t="s">
        <v>35</v>
      </c>
      <c r="H478" s="2" t="s">
        <v>36</v>
      </c>
      <c r="I478" s="4">
        <v>6</v>
      </c>
      <c r="J478" s="5">
        <v>4400</v>
      </c>
      <c r="K478" s="6">
        <v>0.15</v>
      </c>
      <c r="L478" s="2" t="s">
        <v>47</v>
      </c>
      <c r="M478" s="2" t="s">
        <v>48</v>
      </c>
      <c r="N478" s="5">
        <f t="shared" si="21"/>
        <v>26400</v>
      </c>
      <c r="O478" s="5">
        <f t="shared" si="22"/>
        <v>3960</v>
      </c>
      <c r="P478" s="5">
        <f t="shared" si="23"/>
        <v>22440</v>
      </c>
    </row>
    <row r="479" spans="1:16" x14ac:dyDescent="0.25">
      <c r="A479" s="2" t="s">
        <v>594</v>
      </c>
      <c r="B479" s="3">
        <v>45929</v>
      </c>
      <c r="C479" s="2" t="s">
        <v>107</v>
      </c>
      <c r="D479" s="2" t="s">
        <v>33</v>
      </c>
      <c r="E479" s="4">
        <v>59</v>
      </c>
      <c r="F479" s="2" t="s">
        <v>71</v>
      </c>
      <c r="G479" s="2" t="s">
        <v>20</v>
      </c>
      <c r="H479" s="2" t="s">
        <v>86</v>
      </c>
      <c r="I479" s="4">
        <v>7</v>
      </c>
      <c r="J479" s="5">
        <v>12400</v>
      </c>
      <c r="K479" s="6">
        <v>0.12</v>
      </c>
      <c r="L479" s="2" t="s">
        <v>29</v>
      </c>
      <c r="M479" s="2" t="s">
        <v>68</v>
      </c>
      <c r="N479" s="5">
        <f t="shared" si="21"/>
        <v>86800</v>
      </c>
      <c r="O479" s="5">
        <f t="shared" si="22"/>
        <v>10416</v>
      </c>
      <c r="P479" s="5">
        <f t="shared" si="23"/>
        <v>76384</v>
      </c>
    </row>
    <row r="480" spans="1:16" x14ac:dyDescent="0.25">
      <c r="A480" s="2" t="s">
        <v>595</v>
      </c>
      <c r="B480" s="3">
        <v>46198</v>
      </c>
      <c r="C480" s="2" t="s">
        <v>116</v>
      </c>
      <c r="D480" s="2" t="s">
        <v>18</v>
      </c>
      <c r="E480" s="4">
        <v>31</v>
      </c>
      <c r="F480" s="2" t="s">
        <v>100</v>
      </c>
      <c r="G480" s="2" t="s">
        <v>65</v>
      </c>
      <c r="H480" s="2" t="s">
        <v>129</v>
      </c>
      <c r="I480" s="4">
        <v>6</v>
      </c>
      <c r="J480" s="5">
        <v>12900</v>
      </c>
      <c r="K480" s="6">
        <v>0.2</v>
      </c>
      <c r="L480" s="2" t="s">
        <v>29</v>
      </c>
      <c r="M480" s="2" t="s">
        <v>23</v>
      </c>
      <c r="N480" s="5">
        <f t="shared" si="21"/>
        <v>77400</v>
      </c>
      <c r="O480" s="5">
        <f t="shared" si="22"/>
        <v>15480</v>
      </c>
      <c r="P480" s="5">
        <f t="shared" si="23"/>
        <v>61920</v>
      </c>
    </row>
    <row r="481" spans="1:16" x14ac:dyDescent="0.25">
      <c r="A481" s="2" t="s">
        <v>596</v>
      </c>
      <c r="B481" s="3">
        <v>45979</v>
      </c>
      <c r="C481" s="2" t="s">
        <v>157</v>
      </c>
      <c r="D481" s="2" t="s">
        <v>18</v>
      </c>
      <c r="E481" s="4">
        <v>54</v>
      </c>
      <c r="F481" s="2" t="s">
        <v>19</v>
      </c>
      <c r="G481" s="2" t="s">
        <v>35</v>
      </c>
      <c r="H481" s="2" t="s">
        <v>55</v>
      </c>
      <c r="I481" s="4">
        <v>2</v>
      </c>
      <c r="J481" s="5">
        <v>4100</v>
      </c>
      <c r="K481" s="6">
        <v>7.0000000000000007E-2</v>
      </c>
      <c r="L481" s="2" t="s">
        <v>47</v>
      </c>
      <c r="M481" s="2" t="s">
        <v>94</v>
      </c>
      <c r="N481" s="5">
        <f t="shared" si="21"/>
        <v>8200</v>
      </c>
      <c r="O481" s="5">
        <f t="shared" si="22"/>
        <v>574</v>
      </c>
      <c r="P481" s="5">
        <f t="shared" si="23"/>
        <v>7626</v>
      </c>
    </row>
    <row r="482" spans="1:16" x14ac:dyDescent="0.25">
      <c r="A482" s="2" t="s">
        <v>597</v>
      </c>
      <c r="B482" s="3">
        <v>45901</v>
      </c>
      <c r="C482" s="2" t="s">
        <v>32</v>
      </c>
      <c r="D482" s="2" t="s">
        <v>33</v>
      </c>
      <c r="E482" s="4">
        <v>50</v>
      </c>
      <c r="F482" s="2" t="s">
        <v>100</v>
      </c>
      <c r="G482" s="2" t="s">
        <v>20</v>
      </c>
      <c r="H482" s="2" t="s">
        <v>114</v>
      </c>
      <c r="I482" s="4">
        <v>7</v>
      </c>
      <c r="J482" s="5">
        <v>2800</v>
      </c>
      <c r="K482" s="6">
        <v>0</v>
      </c>
      <c r="L482" s="2" t="s">
        <v>22</v>
      </c>
      <c r="M482" s="2" t="s">
        <v>94</v>
      </c>
      <c r="N482" s="5">
        <f t="shared" si="21"/>
        <v>19600</v>
      </c>
      <c r="O482" s="5">
        <f t="shared" si="22"/>
        <v>0</v>
      </c>
      <c r="P482" s="5">
        <f t="shared" si="23"/>
        <v>19600</v>
      </c>
    </row>
    <row r="483" spans="1:16" x14ac:dyDescent="0.25">
      <c r="A483" s="2" t="s">
        <v>598</v>
      </c>
      <c r="B483" s="3">
        <v>46091</v>
      </c>
      <c r="C483" s="2" t="s">
        <v>128</v>
      </c>
      <c r="D483" s="2" t="s">
        <v>33</v>
      </c>
      <c r="E483" s="4">
        <v>45</v>
      </c>
      <c r="F483" s="2" t="s">
        <v>40</v>
      </c>
      <c r="G483" s="2" t="s">
        <v>45</v>
      </c>
      <c r="H483" s="2" t="s">
        <v>187</v>
      </c>
      <c r="I483" s="4">
        <v>6</v>
      </c>
      <c r="J483" s="5">
        <v>89100</v>
      </c>
      <c r="K483" s="6">
        <v>0.02</v>
      </c>
      <c r="L483" s="2" t="s">
        <v>29</v>
      </c>
      <c r="M483" s="2" t="s">
        <v>56</v>
      </c>
      <c r="N483" s="5">
        <f t="shared" si="21"/>
        <v>534600</v>
      </c>
      <c r="O483" s="5">
        <f t="shared" si="22"/>
        <v>10692</v>
      </c>
      <c r="P483" s="5">
        <f t="shared" si="23"/>
        <v>523908</v>
      </c>
    </row>
    <row r="484" spans="1:16" x14ac:dyDescent="0.25">
      <c r="A484" s="2" t="s">
        <v>599</v>
      </c>
      <c r="B484" s="3">
        <v>46046</v>
      </c>
      <c r="C484" s="2" t="s">
        <v>116</v>
      </c>
      <c r="D484" s="2" t="s">
        <v>18</v>
      </c>
      <c r="E484" s="4">
        <v>57</v>
      </c>
      <c r="F484" s="2" t="s">
        <v>34</v>
      </c>
      <c r="G484" s="2" t="s">
        <v>65</v>
      </c>
      <c r="H484" s="2" t="s">
        <v>172</v>
      </c>
      <c r="I484" s="4">
        <v>10</v>
      </c>
      <c r="J484" s="5">
        <v>5900</v>
      </c>
      <c r="K484" s="6">
        <v>0</v>
      </c>
      <c r="L484" s="2" t="s">
        <v>22</v>
      </c>
      <c r="M484" s="2" t="s">
        <v>23</v>
      </c>
      <c r="N484" s="5">
        <f t="shared" si="21"/>
        <v>59000</v>
      </c>
      <c r="O484" s="5">
        <f t="shared" si="22"/>
        <v>0</v>
      </c>
      <c r="P484" s="5">
        <f t="shared" si="23"/>
        <v>59000</v>
      </c>
    </row>
    <row r="485" spans="1:16" x14ac:dyDescent="0.25">
      <c r="A485" s="2" t="s">
        <v>600</v>
      </c>
      <c r="B485" s="3">
        <v>46074</v>
      </c>
      <c r="C485" s="2" t="s">
        <v>83</v>
      </c>
      <c r="D485" s="2" t="s">
        <v>33</v>
      </c>
      <c r="E485" s="4">
        <v>30</v>
      </c>
      <c r="F485" s="2" t="s">
        <v>34</v>
      </c>
      <c r="G485" s="2" t="s">
        <v>65</v>
      </c>
      <c r="H485" s="2" t="s">
        <v>172</v>
      </c>
      <c r="I485" s="4">
        <v>1</v>
      </c>
      <c r="J485" s="5">
        <v>3800</v>
      </c>
      <c r="K485" s="6">
        <v>0.2</v>
      </c>
      <c r="L485" s="2" t="s">
        <v>29</v>
      </c>
      <c r="M485" s="2" t="s">
        <v>60</v>
      </c>
      <c r="N485" s="5">
        <f t="shared" si="21"/>
        <v>3800</v>
      </c>
      <c r="O485" s="5">
        <f t="shared" si="22"/>
        <v>760</v>
      </c>
      <c r="P485" s="5">
        <f t="shared" si="23"/>
        <v>3040</v>
      </c>
    </row>
    <row r="486" spans="1:16" x14ac:dyDescent="0.25">
      <c r="A486" s="2" t="s">
        <v>601</v>
      </c>
      <c r="B486" s="3">
        <v>46164</v>
      </c>
      <c r="C486" s="2" t="s">
        <v>99</v>
      </c>
      <c r="D486" s="2" t="s">
        <v>18</v>
      </c>
      <c r="E486" s="4">
        <v>61</v>
      </c>
      <c r="F486" s="2" t="s">
        <v>40</v>
      </c>
      <c r="G486" s="2" t="s">
        <v>20</v>
      </c>
      <c r="H486" s="2" t="s">
        <v>21</v>
      </c>
      <c r="I486" s="4">
        <v>1</v>
      </c>
      <c r="J486" s="5">
        <v>2800</v>
      </c>
      <c r="K486" s="6">
        <v>0.05</v>
      </c>
      <c r="L486" s="2" t="s">
        <v>22</v>
      </c>
      <c r="M486" s="2" t="s">
        <v>68</v>
      </c>
      <c r="N486" s="5">
        <f t="shared" si="21"/>
        <v>2800</v>
      </c>
      <c r="O486" s="5">
        <f t="shared" si="22"/>
        <v>140</v>
      </c>
      <c r="P486" s="5">
        <f t="shared" si="23"/>
        <v>2660</v>
      </c>
    </row>
    <row r="487" spans="1:16" x14ac:dyDescent="0.25">
      <c r="A487" s="2" t="s">
        <v>602</v>
      </c>
      <c r="B487" s="3">
        <v>46054</v>
      </c>
      <c r="C487" s="2" t="s">
        <v>85</v>
      </c>
      <c r="D487" s="2" t="s">
        <v>18</v>
      </c>
      <c r="E487" s="4">
        <v>60</v>
      </c>
      <c r="F487" s="2" t="s">
        <v>100</v>
      </c>
      <c r="G487" s="2" t="s">
        <v>51</v>
      </c>
      <c r="H487" s="2" t="s">
        <v>52</v>
      </c>
      <c r="I487" s="4">
        <v>1</v>
      </c>
      <c r="J487" s="5">
        <v>225700</v>
      </c>
      <c r="K487" s="6">
        <v>0.02</v>
      </c>
      <c r="L487" s="2" t="s">
        <v>22</v>
      </c>
      <c r="M487" s="2" t="s">
        <v>42</v>
      </c>
      <c r="N487" s="5">
        <f t="shared" si="21"/>
        <v>225700</v>
      </c>
      <c r="O487" s="5">
        <f t="shared" si="22"/>
        <v>4514</v>
      </c>
      <c r="P487" s="5">
        <f t="shared" si="23"/>
        <v>221186</v>
      </c>
    </row>
    <row r="488" spans="1:16" x14ac:dyDescent="0.25">
      <c r="A488" s="2" t="s">
        <v>603</v>
      </c>
      <c r="B488" s="3">
        <v>45995</v>
      </c>
      <c r="C488" s="2" t="s">
        <v>311</v>
      </c>
      <c r="D488" s="2" t="s">
        <v>33</v>
      </c>
      <c r="E488" s="4">
        <v>53</v>
      </c>
      <c r="F488" s="2" t="s">
        <v>71</v>
      </c>
      <c r="G488" s="2" t="s">
        <v>20</v>
      </c>
      <c r="H488" s="2" t="s">
        <v>86</v>
      </c>
      <c r="I488" s="4">
        <v>5</v>
      </c>
      <c r="J488" s="5">
        <v>14700</v>
      </c>
      <c r="K488" s="6">
        <v>7.0000000000000007E-2</v>
      </c>
      <c r="L488" s="2" t="s">
        <v>29</v>
      </c>
      <c r="M488" s="2" t="s">
        <v>60</v>
      </c>
      <c r="N488" s="5">
        <f t="shared" si="21"/>
        <v>73500</v>
      </c>
      <c r="O488" s="5">
        <f t="shared" si="22"/>
        <v>5145.0000000000009</v>
      </c>
      <c r="P488" s="5">
        <f t="shared" si="23"/>
        <v>68355</v>
      </c>
    </row>
    <row r="489" spans="1:16" x14ac:dyDescent="0.25">
      <c r="A489" s="2" t="s">
        <v>604</v>
      </c>
      <c r="B489" s="3">
        <v>46082</v>
      </c>
      <c r="C489" s="2" t="s">
        <v>116</v>
      </c>
      <c r="D489" s="2" t="s">
        <v>18</v>
      </c>
      <c r="E489" s="4">
        <v>54</v>
      </c>
      <c r="F489" s="2" t="s">
        <v>40</v>
      </c>
      <c r="G489" s="2" t="s">
        <v>20</v>
      </c>
      <c r="H489" s="2" t="s">
        <v>21</v>
      </c>
      <c r="I489" s="4">
        <v>9</v>
      </c>
      <c r="J489" s="5">
        <v>2300</v>
      </c>
      <c r="K489" s="6">
        <v>0.02</v>
      </c>
      <c r="L489" s="2" t="s">
        <v>29</v>
      </c>
      <c r="M489" s="2" t="s">
        <v>48</v>
      </c>
      <c r="N489" s="5">
        <f t="shared" si="21"/>
        <v>20700</v>
      </c>
      <c r="O489" s="5">
        <f t="shared" si="22"/>
        <v>414</v>
      </c>
      <c r="P489" s="5">
        <f t="shared" si="23"/>
        <v>20286</v>
      </c>
    </row>
    <row r="490" spans="1:16" x14ac:dyDescent="0.25">
      <c r="A490" s="2" t="s">
        <v>605</v>
      </c>
      <c r="B490" s="3">
        <v>46107</v>
      </c>
      <c r="C490" s="2" t="s">
        <v>132</v>
      </c>
      <c r="D490" s="2" t="s">
        <v>33</v>
      </c>
      <c r="E490" s="4">
        <v>39</v>
      </c>
      <c r="F490" s="2" t="s">
        <v>40</v>
      </c>
      <c r="G490" s="2" t="s">
        <v>65</v>
      </c>
      <c r="H490" s="2" t="s">
        <v>172</v>
      </c>
      <c r="I490" s="4">
        <v>9</v>
      </c>
      <c r="J490" s="5">
        <v>6600</v>
      </c>
      <c r="K490" s="6">
        <v>0.1</v>
      </c>
      <c r="L490" s="2" t="s">
        <v>29</v>
      </c>
      <c r="M490" s="2" t="s">
        <v>23</v>
      </c>
      <c r="N490" s="5">
        <f t="shared" si="21"/>
        <v>59400</v>
      </c>
      <c r="O490" s="5">
        <f t="shared" si="22"/>
        <v>5940</v>
      </c>
      <c r="P490" s="5">
        <f t="shared" si="23"/>
        <v>53460</v>
      </c>
    </row>
    <row r="491" spans="1:16" x14ac:dyDescent="0.25">
      <c r="A491" s="2" t="s">
        <v>606</v>
      </c>
      <c r="B491" s="3">
        <v>46043</v>
      </c>
      <c r="C491" s="2" t="s">
        <v>118</v>
      </c>
      <c r="D491" s="2" t="s">
        <v>33</v>
      </c>
      <c r="E491" s="4">
        <v>48</v>
      </c>
      <c r="F491" s="2" t="s">
        <v>26</v>
      </c>
      <c r="G491" s="2" t="s">
        <v>20</v>
      </c>
      <c r="H491" s="2" t="s">
        <v>108</v>
      </c>
      <c r="I491" s="4">
        <v>8</v>
      </c>
      <c r="J491" s="5">
        <v>57300</v>
      </c>
      <c r="K491" s="6">
        <v>0</v>
      </c>
      <c r="L491" s="2" t="s">
        <v>47</v>
      </c>
      <c r="M491" s="2" t="s">
        <v>48</v>
      </c>
      <c r="N491" s="5">
        <f t="shared" si="21"/>
        <v>458400</v>
      </c>
      <c r="O491" s="5">
        <f t="shared" si="22"/>
        <v>0</v>
      </c>
      <c r="P491" s="5">
        <f t="shared" si="23"/>
        <v>458400</v>
      </c>
    </row>
    <row r="492" spans="1:16" x14ac:dyDescent="0.25">
      <c r="A492" s="2" t="s">
        <v>607</v>
      </c>
      <c r="B492" s="3">
        <v>45982</v>
      </c>
      <c r="C492" s="2" t="s">
        <v>272</v>
      </c>
      <c r="D492" s="2" t="s">
        <v>18</v>
      </c>
      <c r="E492" s="4">
        <v>42</v>
      </c>
      <c r="F492" s="2" t="s">
        <v>34</v>
      </c>
      <c r="G492" s="2" t="s">
        <v>27</v>
      </c>
      <c r="H492" s="2" t="s">
        <v>41</v>
      </c>
      <c r="I492" s="4">
        <v>7</v>
      </c>
      <c r="J492" s="5">
        <v>131400</v>
      </c>
      <c r="K492" s="6">
        <v>0.12</v>
      </c>
      <c r="L492" s="2" t="s">
        <v>29</v>
      </c>
      <c r="M492" s="2" t="s">
        <v>42</v>
      </c>
      <c r="N492" s="5">
        <f t="shared" si="21"/>
        <v>919800</v>
      </c>
      <c r="O492" s="5">
        <f t="shared" si="22"/>
        <v>110376</v>
      </c>
      <c r="P492" s="5">
        <f t="shared" si="23"/>
        <v>809424</v>
      </c>
    </row>
    <row r="493" spans="1:16" x14ac:dyDescent="0.25">
      <c r="A493" s="2" t="s">
        <v>608</v>
      </c>
      <c r="B493" s="3">
        <v>45854</v>
      </c>
      <c r="C493" s="2" t="s">
        <v>70</v>
      </c>
      <c r="D493" s="2" t="s">
        <v>18</v>
      </c>
      <c r="E493" s="4">
        <v>34</v>
      </c>
      <c r="F493" s="2" t="s">
        <v>26</v>
      </c>
      <c r="G493" s="2" t="s">
        <v>20</v>
      </c>
      <c r="H493" s="2" t="s">
        <v>114</v>
      </c>
      <c r="I493" s="4">
        <v>6</v>
      </c>
      <c r="J493" s="5">
        <v>3300</v>
      </c>
      <c r="K493" s="6">
        <v>0.02</v>
      </c>
      <c r="L493" s="2" t="s">
        <v>29</v>
      </c>
      <c r="M493" s="2" t="s">
        <v>94</v>
      </c>
      <c r="N493" s="5">
        <f t="shared" si="21"/>
        <v>19800</v>
      </c>
      <c r="O493" s="5">
        <f t="shared" si="22"/>
        <v>396</v>
      </c>
      <c r="P493" s="5">
        <f t="shared" si="23"/>
        <v>19404</v>
      </c>
    </row>
    <row r="494" spans="1:16" x14ac:dyDescent="0.25">
      <c r="A494" s="2" t="s">
        <v>609</v>
      </c>
      <c r="B494" s="3">
        <v>46093</v>
      </c>
      <c r="C494" s="2" t="s">
        <v>237</v>
      </c>
      <c r="D494" s="2" t="s">
        <v>18</v>
      </c>
      <c r="E494" s="4">
        <v>40</v>
      </c>
      <c r="F494" s="2" t="s">
        <v>26</v>
      </c>
      <c r="G494" s="2" t="s">
        <v>65</v>
      </c>
      <c r="H494" s="2" t="s">
        <v>172</v>
      </c>
      <c r="I494" s="4">
        <v>4</v>
      </c>
      <c r="J494" s="5">
        <v>3700</v>
      </c>
      <c r="K494" s="6">
        <v>0.18</v>
      </c>
      <c r="L494" s="2" t="s">
        <v>29</v>
      </c>
      <c r="M494" s="2" t="s">
        <v>60</v>
      </c>
      <c r="N494" s="5">
        <f t="shared" si="21"/>
        <v>14800</v>
      </c>
      <c r="O494" s="5">
        <f t="shared" si="22"/>
        <v>2664</v>
      </c>
      <c r="P494" s="5">
        <f t="shared" si="23"/>
        <v>12136</v>
      </c>
    </row>
    <row r="495" spans="1:16" x14ac:dyDescent="0.25">
      <c r="A495" s="2" t="s">
        <v>610</v>
      </c>
      <c r="B495" s="3">
        <v>45970</v>
      </c>
      <c r="C495" s="2" t="s">
        <v>73</v>
      </c>
      <c r="D495" s="2" t="s">
        <v>18</v>
      </c>
      <c r="E495" s="4">
        <v>33</v>
      </c>
      <c r="F495" s="2" t="s">
        <v>19</v>
      </c>
      <c r="G495" s="2" t="s">
        <v>27</v>
      </c>
      <c r="H495" s="2" t="s">
        <v>41</v>
      </c>
      <c r="I495" s="4">
        <v>4</v>
      </c>
      <c r="J495" s="5">
        <v>116600</v>
      </c>
      <c r="K495" s="6">
        <v>0.12</v>
      </c>
      <c r="L495" s="2" t="s">
        <v>22</v>
      </c>
      <c r="M495" s="2" t="s">
        <v>48</v>
      </c>
      <c r="N495" s="5">
        <f t="shared" si="21"/>
        <v>466400</v>
      </c>
      <c r="O495" s="5">
        <f t="shared" si="22"/>
        <v>55968</v>
      </c>
      <c r="P495" s="5">
        <f t="shared" si="23"/>
        <v>410432</v>
      </c>
    </row>
    <row r="496" spans="1:16" x14ac:dyDescent="0.25">
      <c r="A496" s="2" t="s">
        <v>611</v>
      </c>
      <c r="B496" s="3">
        <v>45911</v>
      </c>
      <c r="C496" s="2" t="s">
        <v>122</v>
      </c>
      <c r="D496" s="2" t="s">
        <v>33</v>
      </c>
      <c r="E496" s="4">
        <v>61</v>
      </c>
      <c r="F496" s="2" t="s">
        <v>34</v>
      </c>
      <c r="G496" s="2" t="s">
        <v>51</v>
      </c>
      <c r="H496" s="2" t="s">
        <v>111</v>
      </c>
      <c r="I496" s="4">
        <v>1</v>
      </c>
      <c r="J496" s="5">
        <v>391900</v>
      </c>
      <c r="K496" s="6">
        <v>0.18</v>
      </c>
      <c r="L496" s="2" t="s">
        <v>47</v>
      </c>
      <c r="M496" s="2" t="s">
        <v>30</v>
      </c>
      <c r="N496" s="5">
        <f t="shared" si="21"/>
        <v>391900</v>
      </c>
      <c r="O496" s="5">
        <f t="shared" si="22"/>
        <v>70542</v>
      </c>
      <c r="P496" s="5">
        <f t="shared" si="23"/>
        <v>321358</v>
      </c>
    </row>
    <row r="497" spans="1:16" x14ac:dyDescent="0.25">
      <c r="A497" s="2" t="s">
        <v>612</v>
      </c>
      <c r="B497" s="3">
        <v>46011</v>
      </c>
      <c r="C497" s="2" t="s">
        <v>463</v>
      </c>
      <c r="D497" s="2" t="s">
        <v>18</v>
      </c>
      <c r="E497" s="4">
        <v>54</v>
      </c>
      <c r="F497" s="2" t="s">
        <v>19</v>
      </c>
      <c r="G497" s="2" t="s">
        <v>51</v>
      </c>
      <c r="H497" s="2" t="s">
        <v>52</v>
      </c>
      <c r="I497" s="4">
        <v>9</v>
      </c>
      <c r="J497" s="5">
        <v>290300</v>
      </c>
      <c r="K497" s="6">
        <v>0.1</v>
      </c>
      <c r="L497" s="2" t="s">
        <v>47</v>
      </c>
      <c r="M497" s="2" t="s">
        <v>60</v>
      </c>
      <c r="N497" s="5">
        <f t="shared" si="21"/>
        <v>2612700</v>
      </c>
      <c r="O497" s="5">
        <f t="shared" si="22"/>
        <v>261270</v>
      </c>
      <c r="P497" s="5">
        <f t="shared" si="23"/>
        <v>2351430</v>
      </c>
    </row>
    <row r="498" spans="1:16" x14ac:dyDescent="0.25">
      <c r="A498" s="2" t="s">
        <v>613</v>
      </c>
      <c r="B498" s="3">
        <v>46145</v>
      </c>
      <c r="C498" s="2" t="s">
        <v>161</v>
      </c>
      <c r="D498" s="2" t="s">
        <v>18</v>
      </c>
      <c r="E498" s="4">
        <v>21</v>
      </c>
      <c r="F498" s="2" t="s">
        <v>71</v>
      </c>
      <c r="G498" s="2" t="s">
        <v>51</v>
      </c>
      <c r="H498" s="2" t="s">
        <v>120</v>
      </c>
      <c r="I498" s="4">
        <v>1</v>
      </c>
      <c r="J498" s="5">
        <v>42700</v>
      </c>
      <c r="K498" s="6">
        <v>0.2</v>
      </c>
      <c r="L498" s="2" t="s">
        <v>47</v>
      </c>
      <c r="M498" s="2" t="s">
        <v>112</v>
      </c>
      <c r="N498" s="5">
        <f t="shared" si="21"/>
        <v>42700</v>
      </c>
      <c r="O498" s="5">
        <f t="shared" si="22"/>
        <v>8540</v>
      </c>
      <c r="P498" s="5">
        <f t="shared" si="23"/>
        <v>34160</v>
      </c>
    </row>
    <row r="499" spans="1:16" x14ac:dyDescent="0.25">
      <c r="A499" s="2" t="s">
        <v>614</v>
      </c>
      <c r="B499" s="3">
        <v>46201</v>
      </c>
      <c r="C499" s="2" t="s">
        <v>145</v>
      </c>
      <c r="D499" s="2" t="s">
        <v>33</v>
      </c>
      <c r="E499" s="4">
        <v>29</v>
      </c>
      <c r="F499" s="2" t="s">
        <v>100</v>
      </c>
      <c r="G499" s="2" t="s">
        <v>45</v>
      </c>
      <c r="H499" s="2" t="s">
        <v>59</v>
      </c>
      <c r="I499" s="4">
        <v>1</v>
      </c>
      <c r="J499" s="5">
        <v>14600</v>
      </c>
      <c r="K499" s="6">
        <v>0</v>
      </c>
      <c r="L499" s="2" t="s">
        <v>29</v>
      </c>
      <c r="M499" s="2" t="s">
        <v>60</v>
      </c>
      <c r="N499" s="5">
        <f t="shared" si="21"/>
        <v>14600</v>
      </c>
      <c r="O499" s="5">
        <f t="shared" si="22"/>
        <v>0</v>
      </c>
      <c r="P499" s="5">
        <f t="shared" si="23"/>
        <v>14600</v>
      </c>
    </row>
    <row r="500" spans="1:16" x14ac:dyDescent="0.25">
      <c r="A500" s="2" t="s">
        <v>615</v>
      </c>
      <c r="B500" s="3">
        <v>46044</v>
      </c>
      <c r="C500" s="2" t="s">
        <v>44</v>
      </c>
      <c r="D500" s="2" t="s">
        <v>18</v>
      </c>
      <c r="E500" s="4">
        <v>24</v>
      </c>
      <c r="F500" s="2" t="s">
        <v>19</v>
      </c>
      <c r="G500" s="2" t="s">
        <v>20</v>
      </c>
      <c r="H500" s="2" t="s">
        <v>86</v>
      </c>
      <c r="I500" s="4">
        <v>9</v>
      </c>
      <c r="J500" s="5">
        <v>9500</v>
      </c>
      <c r="K500" s="6">
        <v>0.1</v>
      </c>
      <c r="L500" s="2" t="s">
        <v>22</v>
      </c>
      <c r="M500" s="2" t="s">
        <v>68</v>
      </c>
      <c r="N500" s="5">
        <f t="shared" si="21"/>
        <v>85500</v>
      </c>
      <c r="O500" s="5">
        <f t="shared" si="22"/>
        <v>8550</v>
      </c>
      <c r="P500" s="5">
        <f t="shared" si="23"/>
        <v>76950</v>
      </c>
    </row>
    <row r="501" spans="1:16" x14ac:dyDescent="0.25">
      <c r="A501" s="2" t="s">
        <v>616</v>
      </c>
      <c r="B501" s="3">
        <v>46091</v>
      </c>
      <c r="C501" s="2" t="s">
        <v>229</v>
      </c>
      <c r="D501" s="2" t="s">
        <v>18</v>
      </c>
      <c r="E501" s="4">
        <v>39</v>
      </c>
      <c r="F501" s="2" t="s">
        <v>19</v>
      </c>
      <c r="G501" s="2" t="s">
        <v>27</v>
      </c>
      <c r="H501" s="2" t="s">
        <v>28</v>
      </c>
      <c r="I501" s="4">
        <v>4</v>
      </c>
      <c r="J501" s="5">
        <v>43900</v>
      </c>
      <c r="K501" s="6">
        <v>0.15</v>
      </c>
      <c r="L501" s="2" t="s">
        <v>29</v>
      </c>
      <c r="M501" s="2" t="s">
        <v>37</v>
      </c>
      <c r="N501" s="5">
        <f t="shared" si="21"/>
        <v>175600</v>
      </c>
      <c r="O501" s="5">
        <f t="shared" si="22"/>
        <v>26340</v>
      </c>
      <c r="P501" s="5">
        <f t="shared" si="23"/>
        <v>149260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Dashboard</vt:lpstr>
      <vt:lpstr>Pivot Table</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Bukola  Odugbade</cp:lastModifiedBy>
  <cp:revision>0</cp:revision>
  <dcterms:created xsi:type="dcterms:W3CDTF">2026-07-12T18:00:45Z</dcterms:created>
  <dcterms:modified xsi:type="dcterms:W3CDTF">2026-08-30T12:08:34Z</dcterms:modified>
  <dc:language>en-US</dc:language>
</cp:coreProperties>
</file>